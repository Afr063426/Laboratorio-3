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comments8.xml" ContentType="application/vnd.openxmlformats-officedocument.spreadsheetml.comments+xml"/>
  <Override PartName="/xl/comments7.xml" ContentType="application/vnd.openxmlformats-officedocument.spreadsheetml.comments+xml"/>
  <Override PartName="/xl/drawings/vmlDrawing1.vml" ContentType="application/vnd.openxmlformats-officedocument.vmlDrawing"/>
  <Override PartName="/xl/drawings/vmlDrawing2.vml" ContentType="application/vnd.openxmlformats-officedocument.vmlDrawing"/>
  <Override PartName="/xl/drawings/vmlDrawing3.vml" ContentType="application/vnd.openxmlformats-officedocument.vmlDrawing"/>
  <Override PartName="/xl/drawings/vmlDrawing4.vml" ContentType="application/vnd.openxmlformats-officedocument.vmlDrawing"/>
  <Override PartName="/xl/drawings/vmlDrawing5.vml" ContentType="application/vnd.openxmlformats-officedocument.vmlDrawing"/>
  <Override PartName="/xl/drawings/vmlDrawing10.vml" ContentType="application/vnd.openxmlformats-officedocument.vmlDrawing"/>
  <Override PartName="/xl/drawings/vmlDrawing6.vml" ContentType="application/vnd.openxmlformats-officedocument.vmlDrawing"/>
  <Override PartName="/xl/drawings/vmlDrawing11.vml" ContentType="application/vnd.openxmlformats-officedocument.vmlDrawing"/>
  <Override PartName="/xl/drawings/vmlDrawing7.vml" ContentType="application/vnd.openxmlformats-officedocument.vmlDrawing"/>
  <Override PartName="/xl/drawings/vmlDrawing8.vml" ContentType="application/vnd.openxmlformats-officedocument.vmlDrawing"/>
  <Override PartName="/xl/drawings/vmlDrawing9.vml" ContentType="application/vnd.openxmlformats-officedocument.vmlDrawing"/>
  <Override PartName="/xl/comments11.xml" ContentType="application/vnd.openxmlformats-officedocument.spreadsheetml.comments+xml"/>
  <Override PartName="/xl/comments1.xml" ContentType="application/vnd.openxmlformats-officedocument.spreadsheetml.comments+xml"/>
  <Override PartName="/xl/comments10.xml" ContentType="application/vnd.openxmlformats-officedocument.spreadsheetml.comments+xml"/>
  <Override PartName="/xl/comments9.xml" ContentType="application/vnd.openxmlformats-officedocument.spreadsheetml.comments+xml"/>
  <Override PartName="/xl/workbook.xml" ContentType="application/vnd.openxmlformats-officedocument.spreadsheetml.sheet.main+xml"/>
  <Override PartName="/xl/_rels/workbook.xml.rels" ContentType="application/vnd.openxmlformats-package.relationships+xml"/>
  <Override PartName="/xl/comments6.xml" ContentType="application/vnd.openxmlformats-officedocument.spreadsheetml.comments+xml"/>
  <Override PartName="/xl/styles.xml" ContentType="application/vnd.openxmlformats-officedocument.spreadsheetml.styles+xml"/>
  <Override PartName="/xl/comments4.xml" ContentType="application/vnd.openxmlformats-officedocument.spreadsheetml.comments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2.xml" ContentType="application/vnd.openxmlformats-officedocument.spreadsheetml.worksheet+xml"/>
  <Override PartName="/xl/worksheets/sheet11.xml" ContentType="application/vnd.openxmlformats-officedocument.spreadsheetml.worksheet+xml"/>
  <Override PartName="/xl/worksheets/sheet3.xml" ContentType="application/vnd.openxmlformats-officedocument.spreadsheetml.worksheet+xml"/>
  <Override PartName="/xl/worksheets/sheet12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_rels/sheet9.xml.rels" ContentType="application/vnd.openxmlformats-package.relationships+xml"/>
  <Override PartName="/xl/worksheets/_rels/sheet6.xml.rels" ContentType="application/vnd.openxmlformats-package.relationships+xml"/>
  <Override PartName="/xl/worksheets/_rels/sheet8.xml.rels" ContentType="application/vnd.openxmlformats-package.relationships+xml"/>
  <Override PartName="/xl/worksheets/_rels/sheet5.xml.rels" ContentType="application/vnd.openxmlformats-package.relationships+xml"/>
  <Override PartName="/xl/worksheets/_rels/sheet7.xml.rels" ContentType="application/vnd.openxmlformats-package.relationships+xml"/>
  <Override PartName="/xl/worksheets/_rels/sheet1.xml.rels" ContentType="application/vnd.openxmlformats-package.relationships+xml"/>
  <Override PartName="/xl/worksheets/_rels/sheet4.xml.rels" ContentType="application/vnd.openxmlformats-package.relationships+xml"/>
  <Override PartName="/xl/worksheets/_rels/sheet11.xml.rels" ContentType="application/vnd.openxmlformats-package.relationships+xml"/>
  <Override PartName="/xl/worksheets/_rels/sheet3.xml.rels" ContentType="application/vnd.openxmlformats-package.relationships+xml"/>
  <Override PartName="/xl/worksheets/_rels/sheet10.xml.rels" ContentType="application/vnd.openxmlformats-package.relationships+xml"/>
  <Override PartName="/xl/worksheets/_rels/sheet2.xml.rels" ContentType="application/vnd.openxmlformats-package.relationship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comments3.xml" ContentType="application/vnd.openxmlformats-officedocument.spreadsheetml.comments+xml"/>
  <Override PartName="/xl/sharedStrings.xml" ContentType="application/vnd.openxmlformats-officedocument.spreadsheetml.sharedStrings+xml"/>
  <Override PartName="/xl/comments5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0"/>
  </bookViews>
  <sheets>
    <sheet name="AÑO2001_A_DICIEMBRE2005" sheetId="1" state="visible" r:id="rId2"/>
    <sheet name="AÑO_2006_2010" sheetId="2" state="visible" r:id="rId3"/>
    <sheet name="AÑO_2011" sheetId="3" state="visible" r:id="rId4"/>
    <sheet name="AÑO_2012" sheetId="4" state="visible" r:id="rId5"/>
    <sheet name="AÑO 2013" sheetId="5" state="visible" r:id="rId6"/>
    <sheet name="AÑO 2014" sheetId="6" state="visible" r:id="rId7"/>
    <sheet name="AÑO 2015" sheetId="7" state="visible" r:id="rId8"/>
    <sheet name="AÑO 2016" sheetId="8" state="visible" r:id="rId9"/>
    <sheet name="AÑO 2017" sheetId="9" state="visible" r:id="rId10"/>
    <sheet name="AÑO 2018" sheetId="10" state="visible" r:id="rId11"/>
    <sheet name="AÑO 2021" sheetId="11" state="visible" r:id="rId12"/>
    <sheet name="Hoja3" sheetId="12" state="visible" r:id="rId13"/>
  </sheets>
  <definedNames>
    <definedName function="false" hidden="false" localSheetId="1" name="_xlnm.Print_Titles" vbProcedure="false">AÑO_2006_2010!$1:$5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 </author>
  </authors>
  <commentList>
    <comment ref="C5" authorId="0">
      <text>
        <r>
          <rPr>
            <sz val="10"/>
            <rFont val="Arial"/>
            <family val="0"/>
            <charset val="1"/>
          </rPr>
          <t xml:space="preserve">msanchezv:
</t>
        </r>
        <r>
          <rPr>
            <sz val="10"/>
            <color rgb="FF000000"/>
            <rFont val="Tahoma"/>
            <family val="2"/>
            <charset val="1"/>
          </rPr>
          <t xml:space="preserve">Cantidad de acciones transadas</t>
        </r>
      </text>
    </comment>
  </commentList>
</comments>
</file>

<file path=xl/comments2.xml><?xml version="1.0" encoding="utf-8"?>
<comments xmlns="http://schemas.openxmlformats.org/spreadsheetml/2006/main" xmlns:xdr="http://schemas.openxmlformats.org/drawingml/2006/spreadsheetDrawing">
  <authors>
    <author> </author>
  </authors>
  <commentList>
    <comment ref="B5" authorId="0">
      <text>
        <r>
          <rPr>
            <sz val="10"/>
            <rFont val="Arial"/>
            <family val="0"/>
            <charset val="1"/>
          </rPr>
          <t xml:space="preserve">msanchezv:
</t>
        </r>
        <r>
          <rPr>
            <sz val="10"/>
            <color rgb="FF000000"/>
            <rFont val="Tahoma"/>
            <family val="2"/>
            <charset val="1"/>
          </rPr>
          <t xml:space="preserve">Cantidad de acciones transadas</t>
        </r>
      </text>
    </comment>
  </commentList>
</comments>
</file>

<file path=xl/comments3.xml><?xml version="1.0" encoding="utf-8"?>
<comments xmlns="http://schemas.openxmlformats.org/spreadsheetml/2006/main" xmlns:xdr="http://schemas.openxmlformats.org/drawingml/2006/spreadsheetDrawing">
  <authors>
    <author> </author>
  </authors>
  <commentList>
    <comment ref="B5" authorId="0">
      <text>
        <r>
          <rPr>
            <sz val="10"/>
            <rFont val="Arial"/>
            <family val="0"/>
            <charset val="1"/>
          </rPr>
          <t xml:space="preserve">msanchezv:
</t>
        </r>
        <r>
          <rPr>
            <sz val="10"/>
            <color rgb="FF000000"/>
            <rFont val="Tahoma"/>
            <family val="2"/>
            <charset val="1"/>
          </rPr>
          <t xml:space="preserve">Cantidad de acciones transadas</t>
        </r>
      </text>
    </comment>
  </commentList>
</comments>
</file>

<file path=xl/comments4.xml><?xml version="1.0" encoding="utf-8"?>
<comments xmlns="http://schemas.openxmlformats.org/spreadsheetml/2006/main" xmlns:xdr="http://schemas.openxmlformats.org/drawingml/2006/spreadsheetDrawing">
  <authors>
    <author> </author>
  </authors>
  <commentList>
    <comment ref="B5" authorId="0">
      <text>
        <r>
          <rPr>
            <sz val="10"/>
            <rFont val="Arial"/>
            <family val="0"/>
            <charset val="1"/>
          </rPr>
          <t xml:space="preserve">msanchezv:
</t>
        </r>
        <r>
          <rPr>
            <sz val="10"/>
            <color rgb="FF000000"/>
            <rFont val="Tahoma"/>
            <family val="2"/>
            <charset val="1"/>
          </rPr>
          <t xml:space="preserve">Cantidad de acciones transadas</t>
        </r>
      </text>
    </comment>
  </commentList>
</comments>
</file>

<file path=xl/comments5.xml><?xml version="1.0" encoding="utf-8"?>
<comments xmlns="http://schemas.openxmlformats.org/spreadsheetml/2006/main" xmlns:xdr="http://schemas.openxmlformats.org/drawingml/2006/spreadsheetDrawing">
  <authors>
    <author> </author>
  </authors>
  <commentList>
    <comment ref="B5" authorId="0">
      <text>
        <r>
          <rPr>
            <sz val="10"/>
            <rFont val="Arial"/>
            <family val="0"/>
            <charset val="1"/>
          </rPr>
          <t xml:space="preserve">msanchezv:
</t>
        </r>
        <r>
          <rPr>
            <sz val="10"/>
            <color rgb="FF000000"/>
            <rFont val="Tahoma"/>
            <family val="2"/>
            <charset val="1"/>
          </rPr>
          <t xml:space="preserve">Cantidad de acciones transadas</t>
        </r>
      </text>
    </comment>
  </commentList>
</comments>
</file>

<file path=xl/comments6.xml><?xml version="1.0" encoding="utf-8"?>
<comments xmlns="http://schemas.openxmlformats.org/spreadsheetml/2006/main" xmlns:xdr="http://schemas.openxmlformats.org/drawingml/2006/spreadsheetDrawing">
  <authors>
    <author> </author>
  </authors>
  <commentList>
    <comment ref="B5" authorId="0">
      <text>
        <r>
          <rPr>
            <sz val="10"/>
            <rFont val="Arial"/>
            <family val="0"/>
            <charset val="1"/>
          </rPr>
          <t xml:space="preserve">msanchezv:
</t>
        </r>
        <r>
          <rPr>
            <sz val="10"/>
            <color rgb="FF000000"/>
            <rFont val="Tahoma"/>
            <family val="2"/>
            <charset val="1"/>
          </rPr>
          <t xml:space="preserve">Cantidad de acciones transadas</t>
        </r>
      </text>
    </comment>
  </commentList>
</comments>
</file>

<file path=xl/comments7.xml><?xml version="1.0" encoding="utf-8"?>
<comments xmlns="http://schemas.openxmlformats.org/spreadsheetml/2006/main" xmlns:xdr="http://schemas.openxmlformats.org/drawingml/2006/spreadsheetDrawing">
  <authors>
    <author> </author>
  </authors>
  <commentList>
    <comment ref="B5" authorId="0">
      <text>
        <r>
          <rPr>
            <sz val="10"/>
            <rFont val="Arial"/>
            <family val="0"/>
            <charset val="1"/>
          </rPr>
          <t xml:space="preserve">msanchezv:
</t>
        </r>
        <r>
          <rPr>
            <sz val="10"/>
            <color rgb="FF000000"/>
            <rFont val="Tahoma"/>
            <family val="2"/>
            <charset val="1"/>
          </rPr>
          <t xml:space="preserve">Cantidad de acciones transadas</t>
        </r>
      </text>
    </comment>
  </commentList>
</comments>
</file>

<file path=xl/comments8.xml><?xml version="1.0" encoding="utf-8"?>
<comments xmlns="http://schemas.openxmlformats.org/spreadsheetml/2006/main" xmlns:xdr="http://schemas.openxmlformats.org/drawingml/2006/spreadsheetDrawing">
  <authors>
    <author> </author>
  </authors>
  <commentList>
    <comment ref="C5" authorId="0">
      <text>
        <r>
          <rPr>
            <sz val="10"/>
            <rFont val="Arial"/>
            <family val="0"/>
            <charset val="1"/>
          </rPr>
          <t xml:space="preserve">msanchezv:
</t>
        </r>
        <r>
          <rPr>
            <sz val="10"/>
            <color rgb="FF000000"/>
            <rFont val="Tahoma"/>
            <family val="2"/>
            <charset val="1"/>
          </rPr>
          <t xml:space="preserve">Cantidad de acciones transadas</t>
        </r>
      </text>
    </comment>
  </commentList>
</comments>
</file>

<file path=xl/comments9.xml><?xml version="1.0" encoding="utf-8"?>
<comments xmlns="http://schemas.openxmlformats.org/spreadsheetml/2006/main" xmlns:xdr="http://schemas.openxmlformats.org/drawingml/2006/spreadsheetDrawing">
  <authors>
    <author> </author>
  </authors>
  <commentList>
    <comment ref="C5" authorId="0">
      <text>
        <r>
          <rPr>
            <sz val="10"/>
            <rFont val="Arial"/>
            <family val="0"/>
            <charset val="1"/>
          </rPr>
          <t xml:space="preserve">msanchezv:
</t>
        </r>
        <r>
          <rPr>
            <sz val="10"/>
            <color rgb="FF000000"/>
            <rFont val="Tahoma"/>
            <family val="2"/>
            <charset val="1"/>
          </rPr>
          <t xml:space="preserve">Cantidad de acciones transadas</t>
        </r>
      </text>
    </comment>
  </commentList>
</comments>
</file>

<file path=xl/comments10.xml><?xml version="1.0" encoding="utf-8"?>
<comments xmlns="http://schemas.openxmlformats.org/spreadsheetml/2006/main" xmlns:xdr="http://schemas.openxmlformats.org/drawingml/2006/spreadsheetDrawing">
  <authors>
    <author> </author>
  </authors>
  <commentList>
    <comment ref="B5" authorId="0">
      <text>
        <r>
          <rPr>
            <sz val="10"/>
            <rFont val="Arial"/>
            <family val="0"/>
            <charset val="1"/>
          </rPr>
          <t xml:space="preserve">msanchezv:
</t>
        </r>
        <r>
          <rPr>
            <sz val="10"/>
            <color rgb="FF000000"/>
            <rFont val="Tahoma"/>
            <family val="2"/>
            <charset val="1"/>
          </rPr>
          <t xml:space="preserve">Cantidad de acciones transadas</t>
        </r>
      </text>
    </comment>
  </commentList>
</comments>
</file>

<file path=xl/comments11.xml><?xml version="1.0" encoding="utf-8"?>
<comments xmlns="http://schemas.openxmlformats.org/spreadsheetml/2006/main" xmlns:xdr="http://schemas.openxmlformats.org/drawingml/2006/spreadsheetDrawing">
  <authors>
    <author> </author>
  </authors>
  <commentList>
    <comment ref="B5" authorId="0">
      <text>
        <r>
          <rPr>
            <sz val="10"/>
            <rFont val="Arial"/>
            <family val="0"/>
            <charset val="1"/>
          </rPr>
          <t xml:space="preserve">msanchezv:
</t>
        </r>
        <r>
          <rPr>
            <sz val="10"/>
            <color rgb="FF000000"/>
            <rFont val="Tahoma"/>
            <family val="2"/>
            <charset val="1"/>
          </rPr>
          <t xml:space="preserve">Cantidad de acciones transadas</t>
        </r>
      </text>
    </comment>
  </commentList>
</comments>
</file>

<file path=xl/sharedStrings.xml><?xml version="1.0" encoding="utf-8"?>
<sst xmlns="http://schemas.openxmlformats.org/spreadsheetml/2006/main" count="106" uniqueCount="44">
  <si>
    <t xml:space="preserve">Holcim (Costa Rica) S.A.</t>
  </si>
  <si>
    <t xml:space="preserve">Informacion del Boletin - Acciones</t>
  </si>
  <si>
    <t xml:space="preserve">Fec. Operac.</t>
  </si>
  <si>
    <t xml:space="preserve">Hora Operac.</t>
  </si>
  <si>
    <t xml:space="preserve">Facial</t>
  </si>
  <si>
    <t xml:space="preserve">Precio CRC</t>
  </si>
  <si>
    <t xml:space="preserve">10.54.00</t>
  </si>
  <si>
    <t xml:space="preserve">11.45.00</t>
  </si>
  <si>
    <t xml:space="preserve">10.46.00</t>
  </si>
  <si>
    <t xml:space="preserve">precio promedio</t>
  </si>
  <si>
    <t xml:space="preserve">Año 2012</t>
  </si>
  <si>
    <t xml:space="preserve">Cant. Acciones</t>
  </si>
  <si>
    <t xml:space="preserve">Fuente: BNV</t>
  </si>
  <si>
    <t xml:space="preserve">Año 2013</t>
  </si>
  <si>
    <t xml:space="preserve">Valor transado</t>
  </si>
  <si>
    <t xml:space="preserve">Año 2014</t>
  </si>
  <si>
    <t xml:space="preserve">Valor Transado</t>
  </si>
  <si>
    <t xml:space="preserve">promedio</t>
  </si>
  <si>
    <t xml:space="preserve">máx 22 min 21.50</t>
  </si>
  <si>
    <t xml:space="preserve">máx 21.95 mín 21.50</t>
  </si>
  <si>
    <t xml:space="preserve">máx 21.50 mín 21.25</t>
  </si>
  <si>
    <t xml:space="preserve">máx 21.75 mín 21</t>
  </si>
  <si>
    <t xml:space="preserve">Año 2015</t>
  </si>
  <si>
    <t xml:space="preserve">máx. 21.30 mín. 20.77</t>
  </si>
  <si>
    <t xml:space="preserve">máx 21 mín 20.50</t>
  </si>
  <si>
    <t xml:space="preserve">máx20.50 mín 20.25</t>
  </si>
  <si>
    <t xml:space="preserve">SUBTOTAL MEDIO PERIODO</t>
  </si>
  <si>
    <t xml:space="preserve">máx18.50 mín18.40</t>
  </si>
  <si>
    <t xml:space="preserve">TOTAL</t>
  </si>
  <si>
    <t xml:space="preserve">ACCIONES</t>
  </si>
  <si>
    <t xml:space="preserve">CRC</t>
  </si>
  <si>
    <t xml:space="preserve">Durante el año 2015 se transaron:</t>
  </si>
  <si>
    <t xml:space="preserve">Para un total de</t>
  </si>
  <si>
    <t xml:space="preserve">Año 2016</t>
  </si>
  <si>
    <t xml:space="preserve">En el mes de agosto no hubo transacciones de acciones de </t>
  </si>
  <si>
    <t xml:space="preserve">En el mes de setiembre se transaron 48,495,752 acciones de Holcim (CR)</t>
  </si>
  <si>
    <t xml:space="preserve">para un total de CRC 824,427,784</t>
  </si>
  <si>
    <t xml:space="preserve">Año 2017</t>
  </si>
  <si>
    <t xml:space="preserve">Año 2018</t>
  </si>
  <si>
    <t xml:space="preserve">Año 2021</t>
  </si>
  <si>
    <t xml:space="preserve">27/01/2021</t>
  </si>
  <si>
    <t xml:space="preserve">PROMEDIO</t>
  </si>
  <si>
    <t xml:space="preserve">17/03/2021</t>
  </si>
  <si>
    <t xml:space="preserve">27/05/2021</t>
  </si>
</sst>
</file>

<file path=xl/styles.xml><?xml version="1.0" encoding="utf-8"?>
<styleSheet xmlns="http://schemas.openxmlformats.org/spreadsheetml/2006/main">
  <numFmts count="12">
    <numFmt numFmtId="164" formatCode="General"/>
    <numFmt numFmtId="165" formatCode="m/d/yyyy"/>
    <numFmt numFmtId="166" formatCode="h:mm:ss"/>
    <numFmt numFmtId="167" formatCode="#,##0.00"/>
    <numFmt numFmtId="168" formatCode="dd/mm/yyyy;@"/>
    <numFmt numFmtId="169" formatCode="#,##0"/>
    <numFmt numFmtId="170" formatCode="@"/>
    <numFmt numFmtId="171" formatCode="h:mm"/>
    <numFmt numFmtId="172" formatCode="dd/mm/yy;@"/>
    <numFmt numFmtId="173" formatCode="_(* #,##0.00_);_(* \(#,##0.00\);_(* \-??_);_(@_)"/>
    <numFmt numFmtId="174" formatCode="_(* #,##0_);_(* \(#,##0\);_(* \-_);_(@_)"/>
    <numFmt numFmtId="175" formatCode="_(* #,##0_);_(* \(#,##0\);_(* \-??_);_(@_)"/>
  </numFmts>
  <fonts count="16">
    <font>
      <sz val="1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  <font>
      <sz val="10"/>
      <color rgb="FF000000"/>
      <name val="Tahoma"/>
      <family val="2"/>
      <charset val="1"/>
    </font>
    <font>
      <sz val="11"/>
      <name val="Arial"/>
      <family val="2"/>
      <charset val="1"/>
    </font>
    <font>
      <b val="true"/>
      <sz val="11"/>
      <name val="Arial"/>
      <family val="2"/>
      <charset val="1"/>
    </font>
    <font>
      <sz val="10"/>
      <color rgb="FF333399"/>
      <name val="Arial"/>
      <family val="2"/>
      <charset val="1"/>
    </font>
    <font>
      <sz val="10"/>
      <color rgb="FFFF00FF"/>
      <name val="Arial"/>
      <family val="2"/>
      <charset val="1"/>
    </font>
    <font>
      <sz val="10"/>
      <name val="Arial"/>
      <family val="2"/>
      <charset val="1"/>
    </font>
    <font>
      <b val="true"/>
      <sz val="10"/>
      <color rgb="FF1F497D"/>
      <name val="Arial"/>
      <family val="2"/>
      <charset val="1"/>
    </font>
    <font>
      <b val="true"/>
      <sz val="10"/>
      <color rgb="FF376092"/>
      <name val="Arial"/>
      <family val="2"/>
      <charset val="1"/>
    </font>
    <font>
      <sz val="10"/>
      <color rgb="FFFF0000"/>
      <name val="Arial"/>
      <family val="2"/>
      <charset val="1"/>
    </font>
    <font>
      <u val="single"/>
      <sz val="10"/>
      <color rgb="FF0000FF"/>
      <name val="Arial"/>
      <family val="2"/>
      <charset val="1"/>
    </font>
    <font>
      <sz val="10"/>
      <color rgb="FF0070C0"/>
      <name val="Arial"/>
      <family val="2"/>
      <charset val="1"/>
    </font>
  </fonts>
  <fills count="14">
    <fill>
      <patternFill patternType="none"/>
    </fill>
    <fill>
      <patternFill patternType="gray125"/>
    </fill>
    <fill>
      <patternFill patternType="solid">
        <fgColor rgb="FFFFFFCC"/>
        <bgColor rgb="FFFFFFFF"/>
      </patternFill>
    </fill>
    <fill>
      <patternFill patternType="solid">
        <fgColor rgb="FFCCFFFF"/>
        <bgColor rgb="FFCCFFFF"/>
      </patternFill>
    </fill>
    <fill>
      <patternFill patternType="solid">
        <fgColor rgb="FFCCFFCC"/>
        <bgColor rgb="FFCCFFFF"/>
      </patternFill>
    </fill>
    <fill>
      <patternFill patternType="solid">
        <fgColor rgb="FFFFFF99"/>
        <bgColor rgb="FFFFFFCC"/>
      </patternFill>
    </fill>
    <fill>
      <patternFill patternType="solid">
        <fgColor rgb="FFFFCC99"/>
        <bgColor rgb="FFE6E0EC"/>
      </patternFill>
    </fill>
    <fill>
      <patternFill patternType="solid">
        <fgColor rgb="FFFF99CC"/>
        <bgColor rgb="FFFF8080"/>
      </patternFill>
    </fill>
    <fill>
      <patternFill patternType="solid">
        <fgColor rgb="FFFFFF00"/>
        <bgColor rgb="FFFFFF00"/>
      </patternFill>
    </fill>
    <fill>
      <patternFill patternType="solid">
        <fgColor rgb="FFFF00FF"/>
        <bgColor rgb="FFFF00FF"/>
      </patternFill>
    </fill>
    <fill>
      <patternFill patternType="solid">
        <fgColor rgb="FF00CCFF"/>
        <bgColor rgb="FF33CCCC"/>
      </patternFill>
    </fill>
    <fill>
      <patternFill patternType="solid">
        <fgColor rgb="FF558ED5"/>
        <bgColor rgb="FF3366FF"/>
      </patternFill>
    </fill>
    <fill>
      <patternFill patternType="solid">
        <fgColor rgb="FFFFFFFF"/>
        <bgColor rgb="FFFFFFCC"/>
      </patternFill>
    </fill>
    <fill>
      <patternFill patternType="solid">
        <fgColor rgb="FFE6E0EC"/>
        <bgColor rgb="FFFFFFFF"/>
      </patternFill>
    </fill>
  </fills>
  <borders count="9">
    <border diagonalUp="false" diagonalDown="false">
      <left/>
      <right/>
      <top/>
      <bottom/>
      <diagonal/>
    </border>
    <border diagonalUp="false" diagonalDown="false"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medium"/>
      <right/>
      <top style="medium"/>
      <bottom/>
      <diagonal/>
    </border>
    <border diagonalUp="false" diagonalDown="false">
      <left/>
      <right style="medium"/>
      <top style="medium"/>
      <bottom/>
      <diagonal/>
    </border>
    <border diagonalUp="false" diagonalDown="false">
      <left style="medium"/>
      <right/>
      <top/>
      <bottom style="medium"/>
      <diagonal/>
    </border>
    <border diagonalUp="false" diagonalDown="false">
      <left/>
      <right style="medium"/>
      <top/>
      <bottom style="medium"/>
      <diagonal/>
    </border>
  </borders>
  <cellStyleXfs count="22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173" fontId="0" fillId="0" borderId="0" applyFont="true" applyBorder="false" applyAlignment="true" applyProtection="false">
      <alignment horizontal="general" vertical="bottom" textRotation="0" wrapText="false" indent="0" shrinkToFit="false"/>
    </xf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14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2" borderId="1" applyFont="true" applyBorder="true" applyAlignment="true" applyProtection="false">
      <alignment horizontal="general" vertical="bottom" textRotation="0" wrapText="false" indent="0" shrinkToFit="false"/>
    </xf>
  </cellStyleXfs>
  <cellXfs count="12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5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5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5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6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6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6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7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7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7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7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6" fillId="0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9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8" fontId="7" fillId="0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9" fontId="7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7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6" fillId="8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6" fillId="8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6" fillId="8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6" fillId="4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9" fontId="6" fillId="4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6" fillId="4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6" fillId="6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9" fontId="6" fillId="6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6" fillId="6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6" fillId="9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9" fontId="6" fillId="9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6" fillId="9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6" fillId="10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9" fontId="6" fillId="1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6" fillId="1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0" fillId="1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7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2" fontId="6" fillId="0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2" fontId="7" fillId="0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9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6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2" fontId="6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9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7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9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6" fillId="11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7" fontId="6" fillId="11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8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10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9" fontId="10" fillId="0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10" fillId="0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9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9" fontId="10" fillId="8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72" fontId="0" fillId="8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0" fillId="8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0" fillId="0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0" fillId="0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1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12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0" fillId="12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7" fontId="0" fillId="1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0" fillId="0" borderId="0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3" fontId="6" fillId="0" borderId="0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3" fontId="7" fillId="0" borderId="0" xfId="15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3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11" fillId="12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11" fillId="12" borderId="6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2" fontId="11" fillId="12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11" fillId="12" borderId="8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3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12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12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0" fillId="1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1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10" fillId="13" borderId="0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2" fontId="0" fillId="13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0" fillId="13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11" fillId="1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11" fillId="12" borderId="0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3" fontId="11" fillId="12" borderId="0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1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2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75" fontId="0" fillId="0" borderId="0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1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8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tas 2" xfId="21"/>
    <cellStyle name="*unknown*" xfId="20" builtinId="8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2B2B2"/>
      <rgbColor rgb="FF558ED5"/>
      <rgbColor rgb="FF9999FF"/>
      <rgbColor rgb="FF993366"/>
      <rgbColor rgb="FFFFFFCC"/>
      <rgbColor rgb="FFCCFFFF"/>
      <rgbColor rgb="FF660066"/>
      <rgbColor rgb="FFFF8080"/>
      <rgbColor rgb="FF0070C0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376092"/>
      <rgbColor rgb="FF969696"/>
      <rgbColor rgb="FF1F497D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worksheet" Target="worksheets/sheet11.xml"/><Relationship Id="rId13" Type="http://schemas.openxmlformats.org/officeDocument/2006/relationships/worksheet" Target="worksheets/sheet12.xml"/><Relationship Id="rId14" Type="http://schemas.openxmlformats.org/officeDocument/2006/relationships/sharedStrings" Target="sharedStrings.xml"/>
</Relationships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2.v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3.v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vmlDrawing" Target="../drawings/vmlDrawing4.v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vmlDrawing" Target="../drawings/vmlDrawing5.v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comments" Target="../comments6.xml"/><Relationship Id="rId2" Type="http://schemas.openxmlformats.org/officeDocument/2006/relationships/vmlDrawing" Target="../drawings/vmlDrawing6.v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comments" Target="../comments7.xml"/><Relationship Id="rId2" Type="http://schemas.openxmlformats.org/officeDocument/2006/relationships/vmlDrawing" Target="../drawings/vmlDrawing7.v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comments" Target="../comments8.xml"/><Relationship Id="rId2" Type="http://schemas.openxmlformats.org/officeDocument/2006/relationships/vmlDrawing" Target="../drawings/vmlDrawing8.v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comments" Target="../comments9.xml"/><Relationship Id="rId2" Type="http://schemas.openxmlformats.org/officeDocument/2006/relationships/vmlDrawing" Target="../drawings/vmlDrawing9.v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comments" Target="../comments10.xml"/><Relationship Id="rId2" Type="http://schemas.openxmlformats.org/officeDocument/2006/relationships/vmlDrawing" Target="../drawings/vmlDrawing10.vml"/>
</Relationships>
</file>

<file path=xl/worksheets/_rels/sheet11.xml.rels><?xml version="1.0" encoding="UTF-8"?>
<Relationships xmlns="http://schemas.openxmlformats.org/package/2006/relationships"><Relationship Id="rId1" Type="http://schemas.openxmlformats.org/officeDocument/2006/relationships/comments" Target="../comments11.xml"/><Relationship Id="rId2" Type="http://schemas.openxmlformats.org/officeDocument/2006/relationships/vmlDrawing" Target="../drawings/vmlDrawing1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F780"/>
  <sheetViews>
    <sheetView showFormulas="false" showGridLines="true" showRowColHeaders="true" showZeros="true" rightToLeft="false" tabSelected="false" showOutlineSymbols="true" defaultGridColor="true" view="normal" topLeftCell="A766" colorId="64" zoomScale="100" zoomScaleNormal="100" zoomScalePageLayoutView="100" workbookViewId="0">
      <selection pane="topLeft" activeCell="D112" activeCellId="0" sqref="D112"/>
    </sheetView>
  </sheetViews>
  <sheetFormatPr defaultColWidth="9.15625" defaultRowHeight="12.75" zeroHeight="false" outlineLevelRow="0" outlineLevelCol="0"/>
  <cols>
    <col collapsed="false" customWidth="true" hidden="false" outlineLevel="0" max="1" min="1" style="0" width="12.57"/>
    <col collapsed="false" customWidth="true" hidden="false" outlineLevel="0" max="2" min="2" style="0" width="13.14"/>
    <col collapsed="false" customWidth="true" hidden="false" outlineLevel="0" max="3" min="3" style="0" width="12.71"/>
    <col collapsed="false" customWidth="true" hidden="false" outlineLevel="0" max="4" min="4" style="0" width="11.29"/>
  </cols>
  <sheetData>
    <row r="1" customFormat="false" ht="12.75" hidden="false" customHeight="false" outlineLevel="0" collapsed="false">
      <c r="A1" s="1" t="s">
        <v>0</v>
      </c>
    </row>
    <row r="3" customFormat="false" ht="12.75" hidden="false" customHeight="false" outlineLevel="0" collapsed="false">
      <c r="A3" s="1" t="s">
        <v>1</v>
      </c>
    </row>
    <row r="5" customFormat="false" ht="12.75" hidden="false" customHeight="false" outlineLevel="0" collapsed="false">
      <c r="A5" s="1" t="s">
        <v>2</v>
      </c>
      <c r="B5" s="1" t="s">
        <v>3</v>
      </c>
      <c r="C5" s="1" t="s">
        <v>4</v>
      </c>
      <c r="D5" s="1" t="s">
        <v>5</v>
      </c>
    </row>
    <row r="6" customFormat="false" ht="12.75" hidden="false" customHeight="false" outlineLevel="0" collapsed="false">
      <c r="A6" s="2" t="n">
        <v>36923</v>
      </c>
      <c r="B6" s="3" t="n">
        <v>0.488194444444444</v>
      </c>
      <c r="C6" s="4" t="n">
        <v>36117</v>
      </c>
      <c r="D6" s="5" t="n">
        <v>10</v>
      </c>
    </row>
    <row r="7" customFormat="false" ht="12.75" hidden="false" customHeight="false" outlineLevel="0" collapsed="false">
      <c r="A7" s="2" t="n">
        <v>36923</v>
      </c>
      <c r="B7" s="3" t="n">
        <v>0.489583333333333</v>
      </c>
      <c r="C7" s="4" t="n">
        <v>68000</v>
      </c>
      <c r="D7" s="5" t="n">
        <v>10</v>
      </c>
    </row>
    <row r="8" customFormat="false" ht="12.75" hidden="false" customHeight="false" outlineLevel="0" collapsed="false">
      <c r="A8" s="2" t="n">
        <v>36934</v>
      </c>
      <c r="B8" s="3" t="n">
        <v>0.511805555555555</v>
      </c>
      <c r="C8" s="4" t="n">
        <v>100000</v>
      </c>
      <c r="D8" s="5" t="n">
        <v>10.2</v>
      </c>
    </row>
    <row r="9" customFormat="false" ht="12.75" hidden="false" customHeight="false" outlineLevel="0" collapsed="false">
      <c r="A9" s="2" t="n">
        <v>36937</v>
      </c>
      <c r="B9" s="3" t="n">
        <v>0.470138888888889</v>
      </c>
      <c r="C9" s="4" t="n">
        <v>921161</v>
      </c>
      <c r="D9" s="5" t="n">
        <v>10</v>
      </c>
      <c r="F9" s="1"/>
    </row>
    <row r="10" customFormat="false" ht="12.75" hidden="false" customHeight="false" outlineLevel="0" collapsed="false">
      <c r="A10" s="2" t="n">
        <v>36937</v>
      </c>
      <c r="B10" s="3" t="n">
        <v>0.475</v>
      </c>
      <c r="C10" s="4" t="n">
        <v>6403</v>
      </c>
      <c r="D10" s="5" t="n">
        <v>10.05</v>
      </c>
    </row>
    <row r="11" customFormat="false" ht="12.75" hidden="false" customHeight="false" outlineLevel="0" collapsed="false">
      <c r="A11" s="2" t="n">
        <v>36937</v>
      </c>
      <c r="B11" s="3" t="n">
        <v>0.476388888888889</v>
      </c>
      <c r="C11" s="4" t="n">
        <v>14914</v>
      </c>
      <c r="D11" s="5" t="n">
        <v>10.05</v>
      </c>
    </row>
    <row r="12" customFormat="false" ht="12.75" hidden="false" customHeight="false" outlineLevel="0" collapsed="false">
      <c r="A12" s="2" t="n">
        <v>36937</v>
      </c>
      <c r="B12" s="3" t="n">
        <v>0.486805555555556</v>
      </c>
      <c r="C12" s="4" t="n">
        <v>23723</v>
      </c>
      <c r="D12" s="5" t="n">
        <v>10.15</v>
      </c>
    </row>
    <row r="13" customFormat="false" ht="12.75" hidden="false" customHeight="false" outlineLevel="0" collapsed="false">
      <c r="A13" s="2" t="n">
        <v>36937</v>
      </c>
      <c r="B13" s="3" t="n">
        <v>0.486805555555556</v>
      </c>
      <c r="C13" s="4" t="n">
        <v>32014</v>
      </c>
      <c r="D13" s="5" t="n">
        <v>10.2</v>
      </c>
    </row>
    <row r="14" customFormat="false" ht="12.75" hidden="false" customHeight="false" outlineLevel="0" collapsed="false">
      <c r="A14" s="2" t="n">
        <v>36943</v>
      </c>
      <c r="B14" s="3" t="n">
        <v>0.417361111111111</v>
      </c>
      <c r="C14" s="4" t="n">
        <v>2000000</v>
      </c>
      <c r="D14" s="5" t="n">
        <v>10</v>
      </c>
    </row>
    <row r="15" customFormat="false" ht="12.75" hidden="false" customHeight="false" outlineLevel="0" collapsed="false">
      <c r="A15" s="2" t="n">
        <v>36944</v>
      </c>
      <c r="B15" s="3" t="n">
        <v>0.48125</v>
      </c>
      <c r="C15" s="4" t="n">
        <v>2500000</v>
      </c>
      <c r="D15" s="5" t="n">
        <v>10.5</v>
      </c>
    </row>
    <row r="16" customFormat="false" ht="12.75" hidden="false" customHeight="false" outlineLevel="0" collapsed="false">
      <c r="A16" s="2" t="n">
        <v>36949</v>
      </c>
      <c r="B16" s="3" t="n">
        <v>0.397222222222222</v>
      </c>
      <c r="C16" s="4" t="n">
        <v>120615</v>
      </c>
      <c r="D16" s="5" t="n">
        <v>10.3</v>
      </c>
    </row>
    <row r="17" customFormat="false" ht="12.75" hidden="false" customHeight="false" outlineLevel="0" collapsed="false">
      <c r="A17" s="2" t="n">
        <v>36969</v>
      </c>
      <c r="B17" s="3" t="n">
        <v>0.471527777777778</v>
      </c>
      <c r="C17" s="4" t="n">
        <v>244000</v>
      </c>
      <c r="D17" s="5" t="n">
        <v>10</v>
      </c>
    </row>
    <row r="18" customFormat="false" ht="12.75" hidden="false" customHeight="false" outlineLevel="0" collapsed="false">
      <c r="A18" s="2" t="n">
        <v>36980</v>
      </c>
      <c r="B18" s="3" t="n">
        <v>0.420833333333333</v>
      </c>
      <c r="C18" s="4" t="n">
        <v>600000</v>
      </c>
      <c r="D18" s="5" t="n">
        <v>9.5</v>
      </c>
    </row>
    <row r="19" customFormat="false" ht="12.75" hidden="false" customHeight="false" outlineLevel="0" collapsed="false">
      <c r="A19" s="2" t="n">
        <v>36980</v>
      </c>
      <c r="B19" s="3" t="n">
        <v>0.475694444444444</v>
      </c>
      <c r="C19" s="4" t="n">
        <v>152370</v>
      </c>
      <c r="D19" s="5" t="n">
        <v>9.25</v>
      </c>
    </row>
    <row r="20" customFormat="false" ht="12.75" hidden="false" customHeight="false" outlineLevel="0" collapsed="false">
      <c r="A20" s="2" t="n">
        <v>36980</v>
      </c>
      <c r="B20" s="3" t="n">
        <v>0.486805555555556</v>
      </c>
      <c r="C20" s="4" t="n">
        <v>42610</v>
      </c>
      <c r="D20" s="5" t="n">
        <v>9.35</v>
      </c>
    </row>
    <row r="21" customFormat="false" ht="12.75" hidden="false" customHeight="false" outlineLevel="0" collapsed="false">
      <c r="A21" s="2" t="n">
        <v>36980</v>
      </c>
      <c r="B21" s="3" t="n">
        <v>0.4875</v>
      </c>
      <c r="C21" s="4" t="n">
        <v>42610</v>
      </c>
      <c r="D21" s="5" t="n">
        <v>9.35</v>
      </c>
    </row>
    <row r="22" customFormat="false" ht="12.75" hidden="false" customHeight="false" outlineLevel="0" collapsed="false">
      <c r="A22" s="2" t="n">
        <v>36980</v>
      </c>
      <c r="B22" s="3" t="n">
        <v>0.488888888888889</v>
      </c>
      <c r="C22" s="4" t="n">
        <v>47630</v>
      </c>
      <c r="D22" s="5" t="n">
        <v>9.5</v>
      </c>
    </row>
    <row r="23" customFormat="false" ht="12.75" hidden="false" customHeight="false" outlineLevel="0" collapsed="false">
      <c r="A23" s="2" t="n">
        <v>36980</v>
      </c>
      <c r="B23" s="3" t="n">
        <v>0.511111111111111</v>
      </c>
      <c r="C23" s="4" t="n">
        <v>149696</v>
      </c>
      <c r="D23" s="5" t="n">
        <v>9.45</v>
      </c>
    </row>
    <row r="24" customFormat="false" ht="12.75" hidden="false" customHeight="false" outlineLevel="0" collapsed="false">
      <c r="A24" s="2" t="n">
        <v>36980</v>
      </c>
      <c r="B24" s="3" t="n">
        <v>0.511111111111111</v>
      </c>
      <c r="C24" s="4" t="n">
        <v>144882</v>
      </c>
      <c r="D24" s="5" t="n">
        <v>9.45</v>
      </c>
    </row>
    <row r="25" customFormat="false" ht="12.75" hidden="false" customHeight="false" outlineLevel="0" collapsed="false">
      <c r="A25" s="2" t="n">
        <v>36983</v>
      </c>
      <c r="B25" s="3" t="n">
        <v>0.480555555555556</v>
      </c>
      <c r="C25" s="4" t="n">
        <v>106328</v>
      </c>
      <c r="D25" s="5" t="n">
        <v>9.25</v>
      </c>
    </row>
    <row r="26" customFormat="false" ht="12.75" hidden="false" customHeight="false" outlineLevel="0" collapsed="false">
      <c r="A26" s="2" t="n">
        <v>36983</v>
      </c>
      <c r="B26" s="3" t="n">
        <v>0.500694444444444</v>
      </c>
      <c r="C26" s="4" t="n">
        <v>19000</v>
      </c>
      <c r="D26" s="5" t="n">
        <v>9.4</v>
      </c>
    </row>
    <row r="27" customFormat="false" ht="12.75" hidden="false" customHeight="false" outlineLevel="0" collapsed="false">
      <c r="A27" s="2" t="n">
        <v>36984</v>
      </c>
      <c r="B27" s="3" t="n">
        <v>0.489583333333333</v>
      </c>
      <c r="C27" s="4" t="n">
        <v>11524</v>
      </c>
      <c r="D27" s="5" t="n">
        <v>9.3</v>
      </c>
    </row>
    <row r="28" customFormat="false" ht="12.75" hidden="false" customHeight="false" outlineLevel="0" collapsed="false">
      <c r="A28" s="2" t="n">
        <v>36984</v>
      </c>
      <c r="B28" s="3" t="n">
        <v>0.495833333333333</v>
      </c>
      <c r="C28" s="4" t="n">
        <v>123892</v>
      </c>
      <c r="D28" s="5" t="n">
        <v>9.4</v>
      </c>
    </row>
    <row r="29" customFormat="false" ht="12.75" hidden="false" customHeight="false" outlineLevel="0" collapsed="false">
      <c r="A29" s="2" t="n">
        <v>36984</v>
      </c>
      <c r="B29" s="3" t="n">
        <v>0.496527777777778</v>
      </c>
      <c r="C29" s="4" t="n">
        <v>864584</v>
      </c>
      <c r="D29" s="5" t="n">
        <v>9.5</v>
      </c>
    </row>
    <row r="30" customFormat="false" ht="12.75" hidden="false" customHeight="false" outlineLevel="0" collapsed="false">
      <c r="A30" s="2" t="n">
        <v>36986</v>
      </c>
      <c r="B30" s="3" t="n">
        <v>0.540972222222222</v>
      </c>
      <c r="C30" s="4" t="n">
        <v>10526</v>
      </c>
      <c r="D30" s="5" t="n">
        <v>9.5</v>
      </c>
    </row>
    <row r="31" customFormat="false" ht="12.75" hidden="false" customHeight="false" outlineLevel="0" collapsed="false">
      <c r="A31" s="2" t="n">
        <v>36999</v>
      </c>
      <c r="B31" s="3" t="n">
        <v>0.482638888888889</v>
      </c>
      <c r="C31" s="4" t="n">
        <v>12400</v>
      </c>
      <c r="D31" s="5" t="n">
        <v>8.8</v>
      </c>
    </row>
    <row r="32" customFormat="false" ht="12.75" hidden="false" customHeight="false" outlineLevel="0" collapsed="false">
      <c r="A32" s="2" t="n">
        <v>37001</v>
      </c>
      <c r="B32" s="3" t="n">
        <v>0.5375</v>
      </c>
      <c r="C32" s="4" t="n">
        <v>32600</v>
      </c>
      <c r="D32" s="5" t="n">
        <v>8.8</v>
      </c>
    </row>
    <row r="33" customFormat="false" ht="12.75" hidden="false" customHeight="false" outlineLevel="0" collapsed="false">
      <c r="A33" s="2" t="n">
        <v>37004</v>
      </c>
      <c r="B33" s="3" t="n">
        <v>0.530555555555556</v>
      </c>
      <c r="C33" s="4" t="n">
        <v>1199719</v>
      </c>
      <c r="D33" s="5" t="n">
        <v>8.87</v>
      </c>
    </row>
    <row r="34" customFormat="false" ht="12.75" hidden="false" customHeight="false" outlineLevel="0" collapsed="false">
      <c r="A34" s="2" t="n">
        <v>37004</v>
      </c>
      <c r="B34" s="3" t="n">
        <v>0.540972222222222</v>
      </c>
      <c r="C34" s="4" t="n">
        <v>40000</v>
      </c>
      <c r="D34" s="5" t="n">
        <v>8.85</v>
      </c>
    </row>
    <row r="35" customFormat="false" ht="12.75" hidden="false" customHeight="false" outlineLevel="0" collapsed="false">
      <c r="A35" s="2" t="n">
        <v>37008</v>
      </c>
      <c r="B35" s="3" t="n">
        <v>0.538194444444444</v>
      </c>
      <c r="C35" s="4" t="n">
        <v>213405</v>
      </c>
      <c r="D35" s="5" t="n">
        <v>8.85</v>
      </c>
    </row>
    <row r="36" customFormat="false" ht="12.75" hidden="false" customHeight="false" outlineLevel="0" collapsed="false">
      <c r="A36" s="2" t="n">
        <v>37008</v>
      </c>
      <c r="B36" s="3" t="n">
        <v>0.548611111111111</v>
      </c>
      <c r="C36" s="4" t="n">
        <v>55254</v>
      </c>
      <c r="D36" s="5" t="n">
        <v>8.85</v>
      </c>
    </row>
    <row r="37" customFormat="false" ht="12.75" hidden="false" customHeight="false" outlineLevel="0" collapsed="false">
      <c r="A37" s="2" t="n">
        <v>37020</v>
      </c>
      <c r="B37" s="3" t="n">
        <v>0.559027777777778</v>
      </c>
      <c r="C37" s="4" t="n">
        <v>1745</v>
      </c>
      <c r="D37" s="5" t="n">
        <v>8.6</v>
      </c>
    </row>
    <row r="38" customFormat="false" ht="12.75" hidden="false" customHeight="false" outlineLevel="0" collapsed="false">
      <c r="A38" s="2" t="n">
        <v>37029</v>
      </c>
      <c r="B38" s="3" t="n">
        <v>0.476388888888889</v>
      </c>
      <c r="C38" s="4" t="n">
        <v>25154</v>
      </c>
      <c r="D38" s="5" t="n">
        <v>8.5</v>
      </c>
    </row>
    <row r="39" customFormat="false" ht="12.75" hidden="false" customHeight="false" outlineLevel="0" collapsed="false">
      <c r="A39" s="2" t="n">
        <v>37032</v>
      </c>
      <c r="B39" s="3" t="n">
        <v>0.503472222222222</v>
      </c>
      <c r="C39" s="4" t="n">
        <v>55000</v>
      </c>
      <c r="D39" s="5" t="n">
        <v>8.5</v>
      </c>
    </row>
    <row r="40" customFormat="false" ht="12.75" hidden="false" customHeight="false" outlineLevel="0" collapsed="false">
      <c r="A40" s="2" t="n">
        <v>37033</v>
      </c>
      <c r="B40" s="3" t="n">
        <v>0.478472222222222</v>
      </c>
      <c r="C40" s="4" t="n">
        <v>143917</v>
      </c>
      <c r="D40" s="5" t="n">
        <v>8.5</v>
      </c>
    </row>
    <row r="41" customFormat="false" ht="12.75" hidden="false" customHeight="false" outlineLevel="0" collapsed="false">
      <c r="A41" s="2" t="n">
        <v>37033</v>
      </c>
      <c r="B41" s="3" t="n">
        <v>0.497916666666667</v>
      </c>
      <c r="C41" s="4" t="n">
        <v>56083</v>
      </c>
      <c r="D41" s="5" t="n">
        <v>8.5</v>
      </c>
    </row>
    <row r="42" customFormat="false" ht="12.75" hidden="false" customHeight="false" outlineLevel="0" collapsed="false">
      <c r="A42" s="2" t="n">
        <v>37033</v>
      </c>
      <c r="B42" s="3" t="n">
        <v>0.5375</v>
      </c>
      <c r="C42" s="4" t="n">
        <v>91705</v>
      </c>
      <c r="D42" s="5" t="n">
        <v>8.5</v>
      </c>
    </row>
    <row r="43" customFormat="false" ht="12.75" hidden="false" customHeight="false" outlineLevel="0" collapsed="false">
      <c r="A43" s="2" t="n">
        <v>37034</v>
      </c>
      <c r="B43" s="3" t="n">
        <v>0.465972222222222</v>
      </c>
      <c r="C43" s="5" t="n">
        <v>342</v>
      </c>
      <c r="D43" s="5" t="n">
        <v>8.49</v>
      </c>
    </row>
    <row r="44" customFormat="false" ht="12.75" hidden="false" customHeight="false" outlineLevel="0" collapsed="false">
      <c r="A44" s="2" t="n">
        <v>37047</v>
      </c>
      <c r="B44" s="3" t="n">
        <v>0.488888888888889</v>
      </c>
      <c r="C44" s="4" t="n">
        <v>264047</v>
      </c>
      <c r="D44" s="5" t="n">
        <v>8.25</v>
      </c>
    </row>
    <row r="45" customFormat="false" ht="12.75" hidden="false" customHeight="false" outlineLevel="0" collapsed="false">
      <c r="A45" s="2" t="n">
        <v>37047</v>
      </c>
      <c r="B45" s="3" t="n">
        <v>0.490277777777778</v>
      </c>
      <c r="C45" s="4" t="n">
        <v>2000000</v>
      </c>
      <c r="D45" s="5" t="n">
        <v>8.5</v>
      </c>
    </row>
    <row r="46" customFormat="false" ht="12.75" hidden="false" customHeight="false" outlineLevel="0" collapsed="false">
      <c r="A46" s="2" t="n">
        <v>37047</v>
      </c>
      <c r="B46" s="3" t="n">
        <v>0.490277777777778</v>
      </c>
      <c r="C46" s="4" t="n">
        <v>1103166</v>
      </c>
      <c r="D46" s="5" t="n">
        <v>8.5</v>
      </c>
    </row>
    <row r="47" customFormat="false" ht="12.75" hidden="false" customHeight="false" outlineLevel="0" collapsed="false">
      <c r="A47" s="2" t="n">
        <v>37047</v>
      </c>
      <c r="B47" s="3" t="n">
        <v>0.55625</v>
      </c>
      <c r="C47" s="4" t="n">
        <v>289236</v>
      </c>
      <c r="D47" s="5" t="n">
        <v>8.25</v>
      </c>
    </row>
    <row r="48" customFormat="false" ht="12.75" hidden="false" customHeight="false" outlineLevel="0" collapsed="false">
      <c r="A48" s="2" t="n">
        <v>37047</v>
      </c>
      <c r="B48" s="3" t="n">
        <v>0.560416666666667</v>
      </c>
      <c r="C48" s="4" t="n">
        <v>400000</v>
      </c>
      <c r="D48" s="5" t="n">
        <v>8.45</v>
      </c>
    </row>
    <row r="49" customFormat="false" ht="12.75" hidden="false" customHeight="false" outlineLevel="0" collapsed="false">
      <c r="A49" s="2" t="n">
        <v>37048</v>
      </c>
      <c r="B49" s="3" t="n">
        <v>0.438888888888889</v>
      </c>
      <c r="C49" s="4" t="n">
        <v>1831839</v>
      </c>
      <c r="D49" s="5" t="n">
        <v>8.25</v>
      </c>
    </row>
    <row r="50" customFormat="false" ht="12.75" hidden="false" customHeight="false" outlineLevel="0" collapsed="false">
      <c r="A50" s="2" t="n">
        <v>37048</v>
      </c>
      <c r="B50" s="3" t="n">
        <v>0.460416666666667</v>
      </c>
      <c r="C50" s="4" t="n">
        <v>125000</v>
      </c>
      <c r="D50" s="5" t="n">
        <v>8.25</v>
      </c>
    </row>
    <row r="51" customFormat="false" ht="12.75" hidden="false" customHeight="false" outlineLevel="0" collapsed="false">
      <c r="A51" s="2" t="n">
        <v>37048</v>
      </c>
      <c r="B51" s="3" t="n">
        <v>0.529861111111111</v>
      </c>
      <c r="C51" s="4" t="n">
        <v>1106099</v>
      </c>
      <c r="D51" s="5" t="n">
        <v>8</v>
      </c>
    </row>
    <row r="52" customFormat="false" ht="12.75" hidden="false" customHeight="false" outlineLevel="0" collapsed="false">
      <c r="A52" s="2" t="n">
        <v>37049</v>
      </c>
      <c r="B52" s="3" t="n">
        <v>0.4625</v>
      </c>
      <c r="C52" s="4" t="n">
        <v>1292145</v>
      </c>
      <c r="D52" s="5" t="n">
        <v>8</v>
      </c>
    </row>
    <row r="53" customFormat="false" ht="12.75" hidden="false" customHeight="false" outlineLevel="0" collapsed="false">
      <c r="A53" s="2" t="n">
        <v>37062</v>
      </c>
      <c r="B53" s="3" t="n">
        <v>0.475</v>
      </c>
      <c r="C53" s="4" t="n">
        <v>20946</v>
      </c>
      <c r="D53" s="5" t="n">
        <v>8.1</v>
      </c>
    </row>
    <row r="54" customFormat="false" ht="12.75" hidden="false" customHeight="false" outlineLevel="0" collapsed="false">
      <c r="A54" s="2" t="n">
        <v>37067</v>
      </c>
      <c r="B54" s="3" t="n">
        <v>0.516666666666667</v>
      </c>
      <c r="C54" s="4" t="n">
        <v>30000</v>
      </c>
      <c r="D54" s="5" t="n">
        <v>8.2</v>
      </c>
    </row>
    <row r="55" customFormat="false" ht="12.75" hidden="false" customHeight="false" outlineLevel="0" collapsed="false">
      <c r="A55" s="2" t="n">
        <v>37067</v>
      </c>
      <c r="B55" s="3" t="n">
        <v>0.545138888888889</v>
      </c>
      <c r="C55" s="4" t="n">
        <v>36555</v>
      </c>
      <c r="D55" s="5" t="n">
        <v>8</v>
      </c>
    </row>
    <row r="56" customFormat="false" ht="12.75" hidden="false" customHeight="false" outlineLevel="0" collapsed="false">
      <c r="A56" s="2" t="n">
        <v>37070</v>
      </c>
      <c r="B56" s="3" t="n">
        <v>0.511111111111111</v>
      </c>
      <c r="C56" s="4" t="n">
        <v>115772</v>
      </c>
      <c r="D56" s="5" t="n">
        <v>8.25</v>
      </c>
    </row>
    <row r="57" customFormat="false" ht="12.75" hidden="false" customHeight="false" outlineLevel="0" collapsed="false">
      <c r="A57" s="2" t="n">
        <v>37071</v>
      </c>
      <c r="B57" s="3" t="n">
        <v>0.534027777777778</v>
      </c>
      <c r="C57" s="4" t="n">
        <v>750000</v>
      </c>
      <c r="D57" s="5" t="n">
        <v>8</v>
      </c>
    </row>
    <row r="58" customFormat="false" ht="12.75" hidden="false" customHeight="false" outlineLevel="0" collapsed="false">
      <c r="A58" s="2" t="n">
        <v>37071</v>
      </c>
      <c r="B58" s="3" t="n">
        <v>0.534722222222222</v>
      </c>
      <c r="C58" s="4" t="n">
        <v>266605</v>
      </c>
      <c r="D58" s="5" t="n">
        <v>8</v>
      </c>
    </row>
    <row r="59" customFormat="false" ht="12.75" hidden="false" customHeight="false" outlineLevel="0" collapsed="false">
      <c r="A59" s="2" t="n">
        <v>37075</v>
      </c>
      <c r="B59" s="3" t="n">
        <v>0.455555555555556</v>
      </c>
      <c r="C59" s="4" t="n">
        <v>5000000</v>
      </c>
      <c r="D59" s="5" t="n">
        <v>8</v>
      </c>
    </row>
    <row r="60" customFormat="false" ht="12.75" hidden="false" customHeight="false" outlineLevel="0" collapsed="false">
      <c r="A60" s="2" t="n">
        <v>37075</v>
      </c>
      <c r="B60" s="3" t="n">
        <v>0.489583333333333</v>
      </c>
      <c r="C60" s="4" t="n">
        <v>1496528</v>
      </c>
      <c r="D60" s="5" t="n">
        <v>7.99</v>
      </c>
    </row>
    <row r="61" customFormat="false" ht="12.75" hidden="false" customHeight="false" outlineLevel="0" collapsed="false">
      <c r="A61" s="2" t="n">
        <v>37075</v>
      </c>
      <c r="B61" s="3" t="n">
        <v>0.517361111111111</v>
      </c>
      <c r="C61" s="4" t="n">
        <v>25000</v>
      </c>
      <c r="D61" s="5" t="n">
        <v>7.95</v>
      </c>
    </row>
    <row r="62" customFormat="false" ht="12.75" hidden="false" customHeight="false" outlineLevel="0" collapsed="false">
      <c r="A62" s="2" t="n">
        <v>37075</v>
      </c>
      <c r="B62" s="3" t="n">
        <v>0.561111111111111</v>
      </c>
      <c r="C62" s="4" t="n">
        <v>14000</v>
      </c>
      <c r="D62" s="5" t="n">
        <v>8</v>
      </c>
    </row>
    <row r="63" customFormat="false" ht="12.75" hidden="false" customHeight="false" outlineLevel="0" collapsed="false">
      <c r="A63" s="2" t="n">
        <v>37076</v>
      </c>
      <c r="B63" s="3" t="n">
        <v>0.444444444444444</v>
      </c>
      <c r="C63" s="4" t="n">
        <v>5000000</v>
      </c>
      <c r="D63" s="5" t="n">
        <v>8</v>
      </c>
    </row>
    <row r="64" customFormat="false" ht="12.75" hidden="false" customHeight="false" outlineLevel="0" collapsed="false">
      <c r="A64" s="2" t="n">
        <v>37076</v>
      </c>
      <c r="B64" s="3" t="n">
        <v>0.459722222222222</v>
      </c>
      <c r="C64" s="4" t="n">
        <v>406495</v>
      </c>
      <c r="D64" s="5" t="n">
        <v>8</v>
      </c>
    </row>
    <row r="65" customFormat="false" ht="12.75" hidden="false" customHeight="false" outlineLevel="0" collapsed="false">
      <c r="A65" s="2" t="n">
        <v>37076</v>
      </c>
      <c r="B65" s="3" t="n">
        <v>0.486111111111111</v>
      </c>
      <c r="C65" s="4" t="n">
        <v>668880</v>
      </c>
      <c r="D65" s="5" t="n">
        <v>8</v>
      </c>
    </row>
    <row r="66" customFormat="false" ht="12.75" hidden="false" customHeight="false" outlineLevel="0" collapsed="false">
      <c r="A66" s="2" t="n">
        <v>37077</v>
      </c>
      <c r="B66" s="3" t="n">
        <v>0.452083333333333</v>
      </c>
      <c r="C66" s="5" t="n">
        <v>5</v>
      </c>
      <c r="D66" s="5" t="n">
        <v>8.01</v>
      </c>
    </row>
    <row r="67" customFormat="false" ht="12.75" hidden="false" customHeight="false" outlineLevel="0" collapsed="false">
      <c r="A67" s="2" t="n">
        <v>37077</v>
      </c>
      <c r="B67" s="3" t="n">
        <v>0.556944444444444</v>
      </c>
      <c r="C67" s="4" t="n">
        <v>121707</v>
      </c>
      <c r="D67" s="5" t="n">
        <v>8</v>
      </c>
    </row>
    <row r="68" customFormat="false" ht="12.75" hidden="false" customHeight="false" outlineLevel="0" collapsed="false">
      <c r="A68" s="2" t="n">
        <v>37081</v>
      </c>
      <c r="B68" s="3" t="n">
        <v>0.472222222222222</v>
      </c>
      <c r="C68" s="4" t="n">
        <v>163713</v>
      </c>
      <c r="D68" s="5" t="n">
        <v>8</v>
      </c>
    </row>
    <row r="69" customFormat="false" ht="12.75" hidden="false" customHeight="false" outlineLevel="0" collapsed="false">
      <c r="A69" s="2" t="n">
        <v>37084</v>
      </c>
      <c r="B69" s="3" t="n">
        <v>0.477777777777778</v>
      </c>
      <c r="C69" s="4" t="n">
        <v>283201</v>
      </c>
      <c r="D69" s="5" t="n">
        <v>8</v>
      </c>
    </row>
    <row r="70" customFormat="false" ht="12.75" hidden="false" customHeight="false" outlineLevel="0" collapsed="false">
      <c r="A70" s="2" t="n">
        <v>37089</v>
      </c>
      <c r="B70" s="3" t="n">
        <v>0.453472222222222</v>
      </c>
      <c r="C70" s="4" t="n">
        <v>19332</v>
      </c>
      <c r="D70" s="5" t="n">
        <v>8</v>
      </c>
    </row>
    <row r="71" customFormat="false" ht="12.75" hidden="false" customHeight="false" outlineLevel="0" collapsed="false">
      <c r="A71" s="2" t="n">
        <v>37090</v>
      </c>
      <c r="B71" s="3" t="n">
        <v>0.509027777777778</v>
      </c>
      <c r="C71" s="4" t="n">
        <v>87771</v>
      </c>
      <c r="D71" s="5" t="n">
        <v>8</v>
      </c>
    </row>
    <row r="72" customFormat="false" ht="12.75" hidden="false" customHeight="false" outlineLevel="0" collapsed="false">
      <c r="A72" s="2" t="n">
        <v>37098</v>
      </c>
      <c r="B72" s="3" t="n">
        <v>0.466666666666667</v>
      </c>
      <c r="C72" s="4" t="n">
        <v>129339</v>
      </c>
      <c r="D72" s="5" t="n">
        <v>8</v>
      </c>
    </row>
    <row r="73" customFormat="false" ht="12.75" hidden="false" customHeight="false" outlineLevel="0" collapsed="false">
      <c r="A73" s="2" t="n">
        <v>37098</v>
      </c>
      <c r="B73" s="3" t="n">
        <v>0.547916666666667</v>
      </c>
      <c r="C73" s="4" t="n">
        <v>132566</v>
      </c>
      <c r="D73" s="5" t="n">
        <v>8</v>
      </c>
    </row>
    <row r="74" customFormat="false" ht="12.75" hidden="false" customHeight="false" outlineLevel="0" collapsed="false">
      <c r="A74" s="2" t="n">
        <v>37102</v>
      </c>
      <c r="B74" s="3" t="n">
        <v>0.46875</v>
      </c>
      <c r="C74" s="4" t="n">
        <v>40000</v>
      </c>
      <c r="D74" s="5" t="n">
        <v>8.25</v>
      </c>
    </row>
    <row r="75" customFormat="false" ht="12.75" hidden="false" customHeight="false" outlineLevel="0" collapsed="false">
      <c r="A75" s="2" t="n">
        <v>37102</v>
      </c>
      <c r="B75" s="3" t="n">
        <v>0.49375</v>
      </c>
      <c r="C75" s="4" t="n">
        <v>60000</v>
      </c>
      <c r="D75" s="5" t="n">
        <v>8.25</v>
      </c>
    </row>
    <row r="76" customFormat="false" ht="12.75" hidden="false" customHeight="false" outlineLevel="0" collapsed="false">
      <c r="A76" s="2" t="n">
        <v>37102</v>
      </c>
      <c r="B76" s="3" t="n">
        <v>0.499305555555555</v>
      </c>
      <c r="C76" s="4" t="n">
        <v>60000</v>
      </c>
      <c r="D76" s="5" t="n">
        <v>8.25</v>
      </c>
    </row>
    <row r="77" customFormat="false" ht="12.75" hidden="false" customHeight="false" outlineLevel="0" collapsed="false">
      <c r="A77" s="2" t="n">
        <v>37102</v>
      </c>
      <c r="B77" s="3" t="n">
        <v>0.502083333333333</v>
      </c>
      <c r="C77" s="5" t="n">
        <v>714</v>
      </c>
      <c r="D77" s="5" t="n">
        <v>8.25</v>
      </c>
    </row>
    <row r="78" customFormat="false" ht="12.75" hidden="false" customHeight="false" outlineLevel="0" collapsed="false">
      <c r="A78" s="2" t="n">
        <v>37102</v>
      </c>
      <c r="B78" s="3" t="n">
        <v>0.502083333333333</v>
      </c>
      <c r="C78" s="4" t="n">
        <v>41418</v>
      </c>
      <c r="D78" s="5" t="n">
        <v>8.25</v>
      </c>
    </row>
    <row r="79" customFormat="false" ht="12.75" hidden="false" customHeight="false" outlineLevel="0" collapsed="false">
      <c r="A79" s="2" t="n">
        <v>37102</v>
      </c>
      <c r="B79" s="3" t="n">
        <v>0.503472222222222</v>
      </c>
      <c r="C79" s="4" t="n">
        <v>224956</v>
      </c>
      <c r="D79" s="5" t="n">
        <v>8.25</v>
      </c>
    </row>
    <row r="80" customFormat="false" ht="12.75" hidden="false" customHeight="false" outlineLevel="0" collapsed="false">
      <c r="A80" s="2" t="n">
        <v>37111</v>
      </c>
      <c r="B80" s="3" t="n">
        <v>0.477083333333333</v>
      </c>
      <c r="C80" s="4" t="n">
        <v>232912</v>
      </c>
      <c r="D80" s="5" t="n">
        <v>8.5</v>
      </c>
    </row>
    <row r="81" customFormat="false" ht="12.75" hidden="false" customHeight="false" outlineLevel="0" collapsed="false">
      <c r="A81" s="2" t="n">
        <v>37112</v>
      </c>
      <c r="B81" s="3" t="n">
        <v>0.520138888888889</v>
      </c>
      <c r="C81" s="4" t="n">
        <v>68000</v>
      </c>
      <c r="D81" s="5" t="n">
        <v>8.27</v>
      </c>
    </row>
    <row r="82" customFormat="false" ht="12.75" hidden="false" customHeight="false" outlineLevel="0" collapsed="false">
      <c r="A82" s="2" t="n">
        <v>37112</v>
      </c>
      <c r="B82" s="3" t="n">
        <v>0.520833333333333</v>
      </c>
      <c r="C82" s="4" t="n">
        <v>12000</v>
      </c>
      <c r="D82" s="5" t="n">
        <v>8.27</v>
      </c>
    </row>
    <row r="83" customFormat="false" ht="12.75" hidden="false" customHeight="false" outlineLevel="0" collapsed="false">
      <c r="A83" s="2" t="n">
        <v>37112</v>
      </c>
      <c r="B83" s="3" t="n">
        <v>0.520833333333333</v>
      </c>
      <c r="C83" s="4" t="n">
        <v>7846</v>
      </c>
      <c r="D83" s="5" t="n">
        <v>8.26</v>
      </c>
    </row>
    <row r="84" customFormat="false" ht="12.75" hidden="false" customHeight="false" outlineLevel="0" collapsed="false">
      <c r="A84" s="2" t="n">
        <v>37116</v>
      </c>
      <c r="B84" s="3" t="n">
        <v>0.556944444444444</v>
      </c>
      <c r="C84" s="4" t="n">
        <v>65173</v>
      </c>
      <c r="D84" s="5" t="n">
        <v>8.45</v>
      </c>
    </row>
    <row r="85" customFormat="false" ht="12.75" hidden="false" customHeight="false" outlineLevel="0" collapsed="false">
      <c r="A85" s="2" t="n">
        <v>37117</v>
      </c>
      <c r="B85" s="3" t="n">
        <v>0.45625</v>
      </c>
      <c r="C85" s="4" t="n">
        <v>146510</v>
      </c>
      <c r="D85" s="5" t="n">
        <v>8.5</v>
      </c>
    </row>
    <row r="86" customFormat="false" ht="12.75" hidden="false" customHeight="false" outlineLevel="0" collapsed="false">
      <c r="A86" s="2" t="n">
        <v>37124</v>
      </c>
      <c r="B86" s="3" t="n">
        <v>0.444444444444444</v>
      </c>
      <c r="C86" s="4" t="n">
        <v>100764</v>
      </c>
      <c r="D86" s="5" t="n">
        <v>8.31</v>
      </c>
    </row>
    <row r="87" customFormat="false" ht="12.75" hidden="false" customHeight="false" outlineLevel="0" collapsed="false">
      <c r="A87" s="2" t="n">
        <v>37124</v>
      </c>
      <c r="B87" s="3" t="n">
        <v>0.534722222222222</v>
      </c>
      <c r="C87" s="4" t="n">
        <v>244000</v>
      </c>
      <c r="D87" s="5" t="n">
        <v>8.42</v>
      </c>
    </row>
    <row r="88" customFormat="false" ht="12.75" hidden="false" customHeight="false" outlineLevel="0" collapsed="false">
      <c r="A88" s="2" t="n">
        <v>37126</v>
      </c>
      <c r="B88" s="3" t="n">
        <v>0.493055555555556</v>
      </c>
      <c r="C88" s="4" t="n">
        <v>286411</v>
      </c>
      <c r="D88" s="5" t="n">
        <v>8.42</v>
      </c>
    </row>
    <row r="89" customFormat="false" ht="12.75" hidden="false" customHeight="false" outlineLevel="0" collapsed="false">
      <c r="A89" s="2" t="n">
        <v>37130</v>
      </c>
      <c r="B89" s="3" t="n">
        <v>0.509722222222222</v>
      </c>
      <c r="C89" s="4" t="n">
        <v>25100</v>
      </c>
      <c r="D89" s="5" t="n">
        <v>8.45</v>
      </c>
    </row>
    <row r="90" customFormat="false" ht="12.75" hidden="false" customHeight="false" outlineLevel="0" collapsed="false">
      <c r="A90" s="2" t="n">
        <v>37131</v>
      </c>
      <c r="B90" s="3" t="n">
        <v>0.454861111111111</v>
      </c>
      <c r="C90" s="4" t="n">
        <v>600000</v>
      </c>
      <c r="D90" s="5" t="n">
        <v>8.42</v>
      </c>
    </row>
    <row r="91" customFormat="false" ht="12.75" hidden="false" customHeight="false" outlineLevel="0" collapsed="false">
      <c r="A91" s="2" t="n">
        <v>37131</v>
      </c>
      <c r="B91" s="3" t="n">
        <v>0.482638888888889</v>
      </c>
      <c r="C91" s="4" t="n">
        <v>1187640</v>
      </c>
      <c r="D91" s="5" t="n">
        <v>8.42</v>
      </c>
    </row>
    <row r="92" customFormat="false" ht="12.75" hidden="false" customHeight="false" outlineLevel="0" collapsed="false">
      <c r="A92" s="2" t="n">
        <v>37131</v>
      </c>
      <c r="B92" s="3" t="n">
        <v>0.482638888888889</v>
      </c>
      <c r="C92" s="4" t="n">
        <v>600000</v>
      </c>
      <c r="D92" s="5" t="n">
        <v>8.42</v>
      </c>
    </row>
    <row r="93" customFormat="false" ht="12.75" hidden="false" customHeight="false" outlineLevel="0" collapsed="false">
      <c r="A93" s="2" t="n">
        <v>37131</v>
      </c>
      <c r="B93" s="3" t="n">
        <v>0.483333333333333</v>
      </c>
      <c r="C93" s="4" t="n">
        <v>750000</v>
      </c>
      <c r="D93" s="5" t="n">
        <v>8.42</v>
      </c>
    </row>
    <row r="94" customFormat="false" ht="12.75" hidden="false" customHeight="false" outlineLevel="0" collapsed="false">
      <c r="A94" s="2" t="n">
        <v>37131</v>
      </c>
      <c r="B94" s="3" t="n">
        <v>0.485416666666667</v>
      </c>
      <c r="C94" s="4" t="n">
        <v>3562945</v>
      </c>
      <c r="D94" s="5" t="n">
        <v>8.42</v>
      </c>
    </row>
    <row r="95" customFormat="false" ht="12.75" hidden="false" customHeight="false" outlineLevel="0" collapsed="false">
      <c r="A95" s="2" t="n">
        <v>37131</v>
      </c>
      <c r="B95" s="3" t="n">
        <v>0.486111111111111</v>
      </c>
      <c r="C95" s="4" t="n">
        <v>2145415</v>
      </c>
      <c r="D95" s="5" t="n">
        <v>8.42</v>
      </c>
    </row>
    <row r="96" customFormat="false" ht="12.75" hidden="false" customHeight="false" outlineLevel="0" collapsed="false">
      <c r="A96" s="2" t="n">
        <v>37131</v>
      </c>
      <c r="B96" s="3" t="n">
        <v>0.486805555555556</v>
      </c>
      <c r="C96" s="4" t="n">
        <v>6532</v>
      </c>
      <c r="D96" s="5" t="n">
        <v>8.4</v>
      </c>
    </row>
    <row r="97" customFormat="false" ht="12.75" hidden="false" customHeight="false" outlineLevel="0" collapsed="false">
      <c r="A97" s="2" t="n">
        <v>37131</v>
      </c>
      <c r="B97" s="3" t="n">
        <v>0.497916666666667</v>
      </c>
      <c r="C97" s="4" t="n">
        <v>186046</v>
      </c>
      <c r="D97" s="5" t="n">
        <v>8.45</v>
      </c>
    </row>
    <row r="98" customFormat="false" ht="12.75" hidden="false" customHeight="false" outlineLevel="0" collapsed="false">
      <c r="A98" s="2" t="n">
        <v>37132</v>
      </c>
      <c r="B98" s="3" t="n">
        <v>0.504166666666667</v>
      </c>
      <c r="C98" s="4" t="n">
        <v>102488</v>
      </c>
      <c r="D98" s="5" t="n">
        <v>8.55</v>
      </c>
    </row>
    <row r="99" customFormat="false" ht="12.75" hidden="false" customHeight="false" outlineLevel="0" collapsed="false">
      <c r="A99" s="2" t="n">
        <v>37141</v>
      </c>
      <c r="B99" s="3" t="n">
        <v>0.488194444444444</v>
      </c>
      <c r="C99" s="4" t="n">
        <v>24551</v>
      </c>
      <c r="D99" s="5" t="n">
        <v>8.44</v>
      </c>
    </row>
    <row r="100" customFormat="false" ht="12.75" hidden="false" customHeight="false" outlineLevel="0" collapsed="false">
      <c r="A100" s="2" t="n">
        <v>37144</v>
      </c>
      <c r="B100" s="3" t="n">
        <v>0.459722222222222</v>
      </c>
      <c r="C100" s="4" t="n">
        <v>84176</v>
      </c>
      <c r="D100" s="5" t="n">
        <v>8.58</v>
      </c>
    </row>
    <row r="101" customFormat="false" ht="12.75" hidden="false" customHeight="false" outlineLevel="0" collapsed="false">
      <c r="A101" s="2" t="n">
        <v>37144</v>
      </c>
      <c r="B101" s="3" t="n">
        <v>0.547222222222222</v>
      </c>
      <c r="C101" s="4" t="n">
        <v>100797</v>
      </c>
      <c r="D101" s="5" t="n">
        <v>8.78</v>
      </c>
    </row>
    <row r="102" customFormat="false" ht="12.75" hidden="false" customHeight="false" outlineLevel="0" collapsed="false">
      <c r="A102" s="2" t="n">
        <v>37146</v>
      </c>
      <c r="B102" s="3" t="n">
        <v>0.457638888888889</v>
      </c>
      <c r="C102" s="4" t="n">
        <v>62299</v>
      </c>
      <c r="D102" s="5" t="n">
        <v>8.9</v>
      </c>
    </row>
    <row r="103" customFormat="false" ht="12.75" hidden="false" customHeight="false" outlineLevel="0" collapsed="false">
      <c r="A103" s="2" t="n">
        <v>37148</v>
      </c>
      <c r="B103" s="3" t="n">
        <v>0.449305555555556</v>
      </c>
      <c r="C103" s="4" t="n">
        <v>175315</v>
      </c>
      <c r="D103" s="5" t="n">
        <v>8.71</v>
      </c>
    </row>
    <row r="104" customFormat="false" ht="12.75" hidden="false" customHeight="false" outlineLevel="0" collapsed="false">
      <c r="A104" s="2" t="n">
        <v>37152</v>
      </c>
      <c r="B104" s="3" t="n">
        <v>0.446527777777778</v>
      </c>
      <c r="C104" s="4" t="n">
        <v>14000</v>
      </c>
      <c r="D104" s="5" t="n">
        <v>9.25</v>
      </c>
    </row>
    <row r="105" customFormat="false" ht="12.75" hidden="false" customHeight="false" outlineLevel="0" collapsed="false">
      <c r="A105" s="2" t="n">
        <v>37152</v>
      </c>
      <c r="B105" s="3" t="n">
        <v>0.450694444444444</v>
      </c>
      <c r="C105" s="4" t="n">
        <v>712254</v>
      </c>
      <c r="D105" s="5" t="n">
        <v>9.25</v>
      </c>
    </row>
    <row r="106" customFormat="false" ht="12.75" hidden="false" customHeight="false" outlineLevel="0" collapsed="false">
      <c r="A106" s="2" t="n">
        <v>37152</v>
      </c>
      <c r="B106" s="3" t="n">
        <v>0.545138888888889</v>
      </c>
      <c r="C106" s="4" t="n">
        <v>36117</v>
      </c>
      <c r="D106" s="5" t="n">
        <v>9.3</v>
      </c>
    </row>
    <row r="107" customFormat="false" ht="12.75" hidden="false" customHeight="false" outlineLevel="0" collapsed="false">
      <c r="A107" s="2" t="n">
        <v>37159</v>
      </c>
      <c r="B107" s="3" t="n">
        <v>0.480555555555556</v>
      </c>
      <c r="C107" s="4" t="n">
        <v>20000</v>
      </c>
      <c r="D107" s="5" t="n">
        <v>9.5</v>
      </c>
    </row>
    <row r="108" customFormat="false" ht="12.75" hidden="false" customHeight="false" outlineLevel="0" collapsed="false">
      <c r="A108" s="2" t="n">
        <v>37159</v>
      </c>
      <c r="B108" s="3" t="n">
        <v>0.480555555555556</v>
      </c>
      <c r="C108" s="4" t="n">
        <v>13378</v>
      </c>
      <c r="D108" s="5" t="n">
        <v>9.5</v>
      </c>
    </row>
    <row r="109" customFormat="false" ht="12.75" hidden="false" customHeight="false" outlineLevel="0" collapsed="false">
      <c r="A109" s="2" t="n">
        <v>37162</v>
      </c>
      <c r="B109" s="3" t="n">
        <v>0.546527777777778</v>
      </c>
      <c r="C109" s="4" t="n">
        <v>166622</v>
      </c>
      <c r="D109" s="5" t="n">
        <v>9.31</v>
      </c>
    </row>
    <row r="110" customFormat="false" ht="12.75" hidden="false" customHeight="false" outlineLevel="0" collapsed="false">
      <c r="A110" s="2" t="n">
        <v>37162</v>
      </c>
      <c r="B110" s="3" t="n">
        <v>0.549305555555556</v>
      </c>
      <c r="C110" s="4" t="n">
        <v>78713</v>
      </c>
      <c r="D110" s="5" t="n">
        <v>9.31</v>
      </c>
    </row>
    <row r="111" customFormat="false" ht="12.75" hidden="false" customHeight="false" outlineLevel="0" collapsed="false">
      <c r="A111" s="2" t="n">
        <v>37162</v>
      </c>
      <c r="B111" s="3" t="n">
        <v>0.552777777777778</v>
      </c>
      <c r="C111" s="4" t="n">
        <v>290000</v>
      </c>
      <c r="D111" s="5" t="n">
        <v>9.31</v>
      </c>
    </row>
    <row r="112" customFormat="false" ht="12.75" hidden="false" customHeight="false" outlineLevel="0" collapsed="false">
      <c r="A112" s="2" t="n">
        <v>37162</v>
      </c>
      <c r="B112" s="3" t="n">
        <v>0.55625</v>
      </c>
      <c r="C112" s="4" t="n">
        <v>300000</v>
      </c>
      <c r="D112" s="5" t="n">
        <v>9.31</v>
      </c>
    </row>
    <row r="113" customFormat="false" ht="12.75" hidden="false" customHeight="false" outlineLevel="0" collapsed="false">
      <c r="A113" s="2" t="n">
        <v>37162</v>
      </c>
      <c r="B113" s="3" t="n">
        <v>0.55625</v>
      </c>
      <c r="C113" s="4" t="n">
        <v>100000</v>
      </c>
      <c r="D113" s="5" t="n">
        <v>9.31</v>
      </c>
    </row>
    <row r="114" customFormat="false" ht="12.75" hidden="false" customHeight="false" outlineLevel="0" collapsed="false">
      <c r="A114" s="2" t="n">
        <v>37162</v>
      </c>
      <c r="B114" s="3" t="n">
        <v>0.558333333333333</v>
      </c>
      <c r="C114" s="4" t="n">
        <v>100000</v>
      </c>
      <c r="D114" s="5" t="n">
        <v>9.31</v>
      </c>
    </row>
    <row r="115" customFormat="false" ht="12.75" hidden="false" customHeight="false" outlineLevel="0" collapsed="false">
      <c r="A115" s="2" t="n">
        <v>37162</v>
      </c>
      <c r="B115" s="3" t="n">
        <v>0.561111111111111</v>
      </c>
      <c r="C115" s="4" t="n">
        <v>350000</v>
      </c>
      <c r="D115" s="5" t="n">
        <v>9.31</v>
      </c>
    </row>
    <row r="116" customFormat="false" ht="12.75" hidden="false" customHeight="false" outlineLevel="0" collapsed="false">
      <c r="A116" s="2" t="n">
        <v>37166</v>
      </c>
      <c r="B116" s="3" t="n">
        <v>0.559722222222222</v>
      </c>
      <c r="C116" s="4" t="n">
        <v>100000</v>
      </c>
      <c r="D116" s="5" t="n">
        <v>10.5</v>
      </c>
    </row>
    <row r="117" customFormat="false" ht="12.75" hidden="false" customHeight="false" outlineLevel="0" collapsed="false">
      <c r="A117" s="2" t="n">
        <v>37169</v>
      </c>
      <c r="B117" s="3" t="n">
        <v>0.553472222222222</v>
      </c>
      <c r="C117" s="4" t="n">
        <v>313625</v>
      </c>
      <c r="D117" s="5" t="n">
        <v>9.5</v>
      </c>
    </row>
    <row r="118" customFormat="false" ht="12.75" hidden="false" customHeight="false" outlineLevel="0" collapsed="false">
      <c r="A118" s="2" t="n">
        <v>37180</v>
      </c>
      <c r="B118" s="3" t="n">
        <v>0.459722222222222</v>
      </c>
      <c r="C118" s="4" t="n">
        <v>5471</v>
      </c>
      <c r="D118" s="5" t="n">
        <v>9.95</v>
      </c>
    </row>
    <row r="119" customFormat="false" ht="12.75" hidden="false" customHeight="false" outlineLevel="0" collapsed="false">
      <c r="A119" s="2" t="n">
        <v>37183</v>
      </c>
      <c r="B119" s="3" t="n">
        <v>0.472222222222222</v>
      </c>
      <c r="C119" s="4" t="n">
        <v>39291</v>
      </c>
      <c r="D119" s="5" t="n">
        <v>9.5</v>
      </c>
    </row>
    <row r="120" customFormat="false" ht="12.75" hidden="false" customHeight="false" outlineLevel="0" collapsed="false">
      <c r="A120" s="2" t="n">
        <v>37186</v>
      </c>
      <c r="B120" s="3" t="n">
        <v>0.528472222222222</v>
      </c>
      <c r="C120" s="4" t="n">
        <v>10000</v>
      </c>
      <c r="D120" s="5" t="n">
        <v>9.5</v>
      </c>
    </row>
    <row r="121" customFormat="false" ht="12.75" hidden="false" customHeight="false" outlineLevel="0" collapsed="false">
      <c r="A121" s="2" t="n">
        <v>37194</v>
      </c>
      <c r="B121" s="3" t="n">
        <v>0.489583333333333</v>
      </c>
      <c r="C121" s="4" t="n">
        <v>117821</v>
      </c>
      <c r="D121" s="5" t="n">
        <v>9.4</v>
      </c>
    </row>
    <row r="122" customFormat="false" ht="12.75" hidden="false" customHeight="false" outlineLevel="0" collapsed="false">
      <c r="A122" s="2" t="n">
        <v>37194</v>
      </c>
      <c r="B122" s="3" t="n">
        <v>0.55</v>
      </c>
      <c r="C122" s="4" t="n">
        <v>241807</v>
      </c>
      <c r="D122" s="5" t="n">
        <v>9.4</v>
      </c>
    </row>
    <row r="123" customFormat="false" ht="12.75" hidden="false" customHeight="false" outlineLevel="0" collapsed="false">
      <c r="A123" s="2" t="n">
        <v>37195</v>
      </c>
      <c r="B123" s="3" t="n">
        <v>0.53125</v>
      </c>
      <c r="C123" s="4" t="n">
        <v>9000</v>
      </c>
      <c r="D123" s="5" t="n">
        <v>9.42</v>
      </c>
    </row>
    <row r="124" customFormat="false" ht="12.75" hidden="false" customHeight="false" outlineLevel="0" collapsed="false">
      <c r="A124" s="2" t="n">
        <v>37201</v>
      </c>
      <c r="B124" s="3" t="n">
        <v>0.555555555555556</v>
      </c>
      <c r="C124" s="4" t="n">
        <v>57884</v>
      </c>
      <c r="D124" s="5" t="n">
        <v>9.4</v>
      </c>
    </row>
    <row r="125" customFormat="false" ht="12.75" hidden="false" customHeight="false" outlineLevel="0" collapsed="false">
      <c r="A125" s="2" t="n">
        <v>37203</v>
      </c>
      <c r="B125" s="3" t="n">
        <v>0.454166666666667</v>
      </c>
      <c r="C125" s="4" t="n">
        <v>58034</v>
      </c>
      <c r="D125" s="5" t="n">
        <v>9.4</v>
      </c>
    </row>
    <row r="126" customFormat="false" ht="12.75" hidden="false" customHeight="false" outlineLevel="0" collapsed="false">
      <c r="A126" s="2" t="n">
        <v>37203</v>
      </c>
      <c r="B126" s="3" t="n">
        <v>0.456944444444444</v>
      </c>
      <c r="C126" s="4" t="n">
        <v>141418</v>
      </c>
      <c r="D126" s="5" t="n">
        <v>9.4</v>
      </c>
    </row>
    <row r="127" customFormat="false" ht="12.75" hidden="false" customHeight="false" outlineLevel="0" collapsed="false">
      <c r="A127" s="2" t="n">
        <v>37203</v>
      </c>
      <c r="B127" s="3" t="n">
        <v>0.464583333333333</v>
      </c>
      <c r="C127" s="4" t="n">
        <v>99783</v>
      </c>
      <c r="D127" s="5" t="n">
        <v>9.4</v>
      </c>
    </row>
    <row r="128" customFormat="false" ht="12.75" hidden="false" customHeight="false" outlineLevel="0" collapsed="false">
      <c r="A128" s="2" t="n">
        <v>37207</v>
      </c>
      <c r="B128" s="3" t="n">
        <v>0.51875</v>
      </c>
      <c r="C128" s="4" t="n">
        <v>115588</v>
      </c>
      <c r="D128" s="5" t="n">
        <v>9.3</v>
      </c>
    </row>
    <row r="129" customFormat="false" ht="12.75" hidden="false" customHeight="false" outlineLevel="0" collapsed="false">
      <c r="A129" s="2" t="n">
        <v>37209</v>
      </c>
      <c r="B129" s="3" t="n">
        <v>0.465972222222222</v>
      </c>
      <c r="C129" s="4" t="n">
        <v>21000</v>
      </c>
      <c r="D129" s="5" t="n">
        <v>9.38</v>
      </c>
    </row>
    <row r="130" customFormat="false" ht="12.75" hidden="false" customHeight="false" outlineLevel="0" collapsed="false">
      <c r="A130" s="2" t="n">
        <v>37209</v>
      </c>
      <c r="B130" s="3" t="n">
        <v>0.467361111111111</v>
      </c>
      <c r="C130" s="4" t="n">
        <v>379000</v>
      </c>
      <c r="D130" s="5" t="n">
        <v>9.4</v>
      </c>
    </row>
    <row r="131" customFormat="false" ht="12.75" hidden="false" customHeight="false" outlineLevel="0" collapsed="false">
      <c r="A131" s="2" t="n">
        <v>37210</v>
      </c>
      <c r="B131" s="3" t="n">
        <v>0.551388888888889</v>
      </c>
      <c r="C131" s="4" t="n">
        <v>712254</v>
      </c>
      <c r="D131" s="5" t="n">
        <v>9.25</v>
      </c>
    </row>
    <row r="132" customFormat="false" ht="12.75" hidden="false" customHeight="false" outlineLevel="0" collapsed="false">
      <c r="A132" s="2" t="n">
        <v>37211</v>
      </c>
      <c r="B132" s="3" t="n">
        <v>0.474305555555556</v>
      </c>
      <c r="C132" s="4" t="n">
        <v>10700</v>
      </c>
      <c r="D132" s="5" t="n">
        <v>9.28</v>
      </c>
    </row>
    <row r="133" customFormat="false" ht="12.75" hidden="false" customHeight="false" outlineLevel="0" collapsed="false">
      <c r="A133" s="2" t="n">
        <v>37211</v>
      </c>
      <c r="B133" s="3" t="n">
        <v>0.474305555555556</v>
      </c>
      <c r="C133" s="4" t="n">
        <v>300000</v>
      </c>
      <c r="D133" s="5" t="n">
        <v>9.28</v>
      </c>
    </row>
    <row r="134" customFormat="false" ht="12.75" hidden="false" customHeight="false" outlineLevel="0" collapsed="false">
      <c r="A134" s="2" t="n">
        <v>37215</v>
      </c>
      <c r="B134" s="3" t="n">
        <v>0.488194444444444</v>
      </c>
      <c r="C134" s="4" t="n">
        <v>10000</v>
      </c>
      <c r="D134" s="5" t="n">
        <v>9.25</v>
      </c>
    </row>
    <row r="135" customFormat="false" ht="12.75" hidden="false" customHeight="false" outlineLevel="0" collapsed="false">
      <c r="A135" s="2" t="n">
        <v>37216</v>
      </c>
      <c r="B135" s="3" t="n">
        <v>0.499305555555555</v>
      </c>
      <c r="C135" s="4" t="n">
        <v>24551</v>
      </c>
      <c r="D135" s="5" t="n">
        <v>9.25</v>
      </c>
    </row>
    <row r="136" customFormat="false" ht="12.75" hidden="false" customHeight="false" outlineLevel="0" collapsed="false">
      <c r="A136" s="2" t="n">
        <v>37217</v>
      </c>
      <c r="B136" s="3" t="n">
        <v>0.481944444444444</v>
      </c>
      <c r="C136" s="4" t="n">
        <v>9259</v>
      </c>
      <c r="D136" s="5" t="n">
        <v>9.23</v>
      </c>
    </row>
    <row r="137" customFormat="false" ht="12.75" hidden="false" customHeight="false" outlineLevel="0" collapsed="false">
      <c r="A137" s="2" t="n">
        <v>37217</v>
      </c>
      <c r="B137" s="3" t="n">
        <v>0.489583333333333</v>
      </c>
      <c r="C137" s="4" t="n">
        <v>19759</v>
      </c>
      <c r="D137" s="5" t="n">
        <v>9.22</v>
      </c>
    </row>
    <row r="138" customFormat="false" ht="12.75" hidden="false" customHeight="false" outlineLevel="0" collapsed="false">
      <c r="A138" s="2" t="n">
        <v>37217</v>
      </c>
      <c r="B138" s="3" t="n">
        <v>0.511111111111111</v>
      </c>
      <c r="C138" s="4" t="n">
        <v>25000</v>
      </c>
      <c r="D138" s="5" t="n">
        <v>9.07</v>
      </c>
    </row>
    <row r="139" customFormat="false" ht="12.75" hidden="false" customHeight="false" outlineLevel="0" collapsed="false">
      <c r="A139" s="2" t="n">
        <v>37217</v>
      </c>
      <c r="B139" s="3" t="n">
        <v>0.511111111111111</v>
      </c>
      <c r="C139" s="4" t="n">
        <v>7051720</v>
      </c>
      <c r="D139" s="5" t="n">
        <v>9.07</v>
      </c>
    </row>
    <row r="140" customFormat="false" ht="12.75" hidden="false" customHeight="false" outlineLevel="0" collapsed="false">
      <c r="A140" s="2" t="n">
        <v>37218</v>
      </c>
      <c r="B140" s="3" t="n">
        <v>0.440277777777778</v>
      </c>
      <c r="C140" s="4" t="n">
        <v>2388485</v>
      </c>
      <c r="D140" s="5" t="n">
        <v>9</v>
      </c>
    </row>
    <row r="141" customFormat="false" ht="12.75" hidden="false" customHeight="false" outlineLevel="0" collapsed="false">
      <c r="A141" s="2" t="n">
        <v>37224</v>
      </c>
      <c r="B141" s="3" t="n">
        <v>0.438888888888889</v>
      </c>
      <c r="C141" s="4" t="n">
        <v>2261649</v>
      </c>
      <c r="D141" s="5" t="n">
        <v>9</v>
      </c>
    </row>
    <row r="142" customFormat="false" ht="12.75" hidden="false" customHeight="false" outlineLevel="0" collapsed="false">
      <c r="A142" s="2" t="n">
        <v>37230</v>
      </c>
      <c r="B142" s="3" t="n">
        <v>0.456944444444444</v>
      </c>
      <c r="C142" s="4" t="n">
        <v>1000000</v>
      </c>
      <c r="D142" s="5" t="n">
        <v>9.1</v>
      </c>
    </row>
    <row r="143" customFormat="false" ht="12.75" hidden="false" customHeight="false" outlineLevel="0" collapsed="false">
      <c r="A143" s="2" t="n">
        <v>37230</v>
      </c>
      <c r="B143" s="3" t="n">
        <v>0.461111111111111</v>
      </c>
      <c r="C143" s="4" t="n">
        <v>524477</v>
      </c>
      <c r="D143" s="5" t="n">
        <v>9.1</v>
      </c>
    </row>
    <row r="144" customFormat="false" ht="12.75" hidden="false" customHeight="false" outlineLevel="0" collapsed="false">
      <c r="A144" s="2" t="n">
        <v>37230</v>
      </c>
      <c r="B144" s="3" t="n">
        <v>0.503472222222222</v>
      </c>
      <c r="C144" s="4" t="n">
        <v>322406</v>
      </c>
      <c r="D144" s="5" t="n">
        <v>9.1</v>
      </c>
    </row>
    <row r="145" customFormat="false" ht="12.75" hidden="false" customHeight="false" outlineLevel="0" collapsed="false">
      <c r="A145" s="2" t="n">
        <v>37230</v>
      </c>
      <c r="B145" s="3" t="n">
        <v>0.518055555555556</v>
      </c>
      <c r="C145" s="4" t="n">
        <v>500000</v>
      </c>
      <c r="D145" s="5" t="n">
        <v>9.06</v>
      </c>
    </row>
    <row r="146" customFormat="false" ht="12.75" hidden="false" customHeight="false" outlineLevel="0" collapsed="false">
      <c r="A146" s="2" t="n">
        <v>37238</v>
      </c>
      <c r="B146" s="3" t="n">
        <v>0.49375</v>
      </c>
      <c r="C146" s="4" t="n">
        <v>2000000</v>
      </c>
      <c r="D146" s="5" t="n">
        <v>9</v>
      </c>
    </row>
    <row r="147" customFormat="false" ht="12.75" hidden="false" customHeight="false" outlineLevel="0" collapsed="false">
      <c r="A147" s="2" t="n">
        <v>37238</v>
      </c>
      <c r="B147" s="3" t="n">
        <v>0.49375</v>
      </c>
      <c r="C147" s="4" t="n">
        <v>11100</v>
      </c>
      <c r="D147" s="5" t="n">
        <v>9</v>
      </c>
    </row>
    <row r="148" customFormat="false" ht="12.75" hidden="false" customHeight="false" outlineLevel="0" collapsed="false">
      <c r="A148" s="2" t="n">
        <v>37238</v>
      </c>
      <c r="B148" s="3" t="n">
        <v>0.49375</v>
      </c>
      <c r="C148" s="4" t="n">
        <v>1000000</v>
      </c>
      <c r="D148" s="5" t="n">
        <v>9</v>
      </c>
    </row>
    <row r="149" customFormat="false" ht="12.75" hidden="false" customHeight="false" outlineLevel="0" collapsed="false">
      <c r="A149" s="2" t="n">
        <v>37238</v>
      </c>
      <c r="B149" s="3" t="n">
        <v>0.495833333333333</v>
      </c>
      <c r="C149" s="4" t="n">
        <v>200000</v>
      </c>
      <c r="D149" s="5" t="n">
        <v>9</v>
      </c>
    </row>
    <row r="150" customFormat="false" ht="12.75" hidden="false" customHeight="false" outlineLevel="0" collapsed="false">
      <c r="A150" s="2" t="n">
        <v>37239</v>
      </c>
      <c r="B150" s="3" t="n">
        <v>0.517361111111111</v>
      </c>
      <c r="C150" s="4" t="n">
        <v>1000000</v>
      </c>
      <c r="D150" s="5" t="n">
        <v>9</v>
      </c>
    </row>
    <row r="151" customFormat="false" ht="12.75" hidden="false" customHeight="false" outlineLevel="0" collapsed="false">
      <c r="A151" s="2" t="n">
        <v>37242</v>
      </c>
      <c r="B151" s="3" t="n">
        <v>0.459027777777778</v>
      </c>
      <c r="C151" s="4" t="n">
        <v>200000</v>
      </c>
      <c r="D151" s="5" t="n">
        <v>9</v>
      </c>
    </row>
    <row r="152" customFormat="false" ht="12.75" hidden="false" customHeight="false" outlineLevel="0" collapsed="false">
      <c r="A152" s="2" t="n">
        <v>37243</v>
      </c>
      <c r="B152" s="3" t="n">
        <v>0.524305555555556</v>
      </c>
      <c r="C152" s="4" t="n">
        <v>20000</v>
      </c>
      <c r="D152" s="5" t="n">
        <v>9</v>
      </c>
    </row>
    <row r="153" customFormat="false" ht="12.75" hidden="false" customHeight="false" outlineLevel="0" collapsed="false">
      <c r="A153" s="6" t="n">
        <v>37271</v>
      </c>
      <c r="B153" s="7" t="n">
        <v>0.510416666666667</v>
      </c>
      <c r="C153" s="8" t="n">
        <v>405597</v>
      </c>
      <c r="D153" s="9" t="n">
        <v>9.1</v>
      </c>
    </row>
    <row r="154" customFormat="false" ht="12.75" hidden="false" customHeight="false" outlineLevel="0" collapsed="false">
      <c r="A154" s="6" t="n">
        <v>37272</v>
      </c>
      <c r="B154" s="7" t="n">
        <v>0.475</v>
      </c>
      <c r="C154" s="8" t="n">
        <v>16238</v>
      </c>
      <c r="D154" s="9" t="n">
        <v>9.04</v>
      </c>
    </row>
    <row r="155" customFormat="false" ht="12.75" hidden="false" customHeight="false" outlineLevel="0" collapsed="false">
      <c r="A155" s="6" t="n">
        <v>37273</v>
      </c>
      <c r="B155" s="7" t="n">
        <v>0.490972222222222</v>
      </c>
      <c r="C155" s="8" t="n">
        <v>5471</v>
      </c>
      <c r="D155" s="9" t="n">
        <v>9.02</v>
      </c>
    </row>
    <row r="156" customFormat="false" ht="12.75" hidden="false" customHeight="false" outlineLevel="0" collapsed="false">
      <c r="A156" s="6" t="n">
        <v>37273</v>
      </c>
      <c r="B156" s="7" t="n">
        <v>0.510416666666667</v>
      </c>
      <c r="C156" s="8" t="n">
        <v>202897</v>
      </c>
      <c r="D156" s="9" t="n">
        <v>9.03</v>
      </c>
    </row>
    <row r="157" customFormat="false" ht="12.75" hidden="false" customHeight="false" outlineLevel="0" collapsed="false">
      <c r="A157" s="6" t="n">
        <v>37274</v>
      </c>
      <c r="B157" s="7" t="n">
        <v>0.527777777777778</v>
      </c>
      <c r="C157" s="8" t="n">
        <v>75123</v>
      </c>
      <c r="D157" s="9" t="n">
        <v>9.05</v>
      </c>
    </row>
    <row r="158" customFormat="false" ht="12.75" hidden="false" customHeight="false" outlineLevel="0" collapsed="false">
      <c r="A158" s="6" t="n">
        <v>37279</v>
      </c>
      <c r="B158" s="7" t="n">
        <v>0.463194444444444</v>
      </c>
      <c r="C158" s="8" t="n">
        <v>1187640</v>
      </c>
      <c r="D158" s="9" t="n">
        <v>9.05</v>
      </c>
    </row>
    <row r="159" customFormat="false" ht="12.75" hidden="false" customHeight="false" outlineLevel="0" collapsed="false">
      <c r="A159" s="6" t="n">
        <v>37281</v>
      </c>
      <c r="B159" s="7" t="n">
        <v>0.423611111111111</v>
      </c>
      <c r="C159" s="8" t="n">
        <v>980000</v>
      </c>
      <c r="D159" s="9" t="n">
        <v>9.19</v>
      </c>
    </row>
    <row r="160" customFormat="false" ht="12.75" hidden="false" customHeight="false" outlineLevel="0" collapsed="false">
      <c r="A160" s="6" t="n">
        <v>37281</v>
      </c>
      <c r="B160" s="7" t="n">
        <v>0.472222222222222</v>
      </c>
      <c r="C160" s="8" t="n">
        <v>14359</v>
      </c>
      <c r="D160" s="9" t="n">
        <v>9.15</v>
      </c>
    </row>
    <row r="161" customFormat="false" ht="12.75" hidden="false" customHeight="false" outlineLevel="0" collapsed="false">
      <c r="A161" s="6" t="n">
        <v>37285</v>
      </c>
      <c r="B161" s="7" t="n">
        <v>0.419444444444444</v>
      </c>
      <c r="C161" s="8" t="n">
        <v>5000000</v>
      </c>
      <c r="D161" s="9" t="n">
        <v>8.65</v>
      </c>
    </row>
    <row r="162" customFormat="false" ht="12.75" hidden="false" customHeight="false" outlineLevel="0" collapsed="false">
      <c r="A162" s="6" t="n">
        <v>37285</v>
      </c>
      <c r="B162" s="7" t="n">
        <v>0.434722222222222</v>
      </c>
      <c r="C162" s="8" t="n">
        <v>5000000</v>
      </c>
      <c r="D162" s="9" t="n">
        <v>9.85</v>
      </c>
    </row>
    <row r="163" customFormat="false" ht="12.75" hidden="false" customHeight="false" outlineLevel="0" collapsed="false">
      <c r="A163" s="6" t="n">
        <v>37285</v>
      </c>
      <c r="B163" s="7" t="n">
        <v>0.483333333333333</v>
      </c>
      <c r="C163" s="8" t="n">
        <v>16373905</v>
      </c>
      <c r="D163" s="9" t="n">
        <v>9.45</v>
      </c>
    </row>
    <row r="164" customFormat="false" ht="12.75" hidden="false" customHeight="false" outlineLevel="0" collapsed="false">
      <c r="A164" s="6" t="n">
        <v>37286</v>
      </c>
      <c r="B164" s="7" t="n">
        <v>0.502083333333333</v>
      </c>
      <c r="C164" s="8" t="n">
        <v>10176</v>
      </c>
      <c r="D164" s="9" t="n">
        <v>9.48</v>
      </c>
    </row>
    <row r="165" customFormat="false" ht="12.75" hidden="false" customHeight="false" outlineLevel="0" collapsed="false">
      <c r="A165" s="6" t="n">
        <v>37286</v>
      </c>
      <c r="B165" s="7" t="n">
        <v>0.502083333333333</v>
      </c>
      <c r="C165" s="8" t="n">
        <v>49551</v>
      </c>
      <c r="D165" s="9" t="n">
        <v>9.48</v>
      </c>
    </row>
    <row r="166" customFormat="false" ht="12.75" hidden="false" customHeight="false" outlineLevel="0" collapsed="false">
      <c r="A166" s="6" t="n">
        <v>37288</v>
      </c>
      <c r="B166" s="7" t="n">
        <v>0.416666666666667</v>
      </c>
      <c r="C166" s="8" t="n">
        <v>1000000</v>
      </c>
      <c r="D166" s="9" t="n">
        <v>9.4</v>
      </c>
    </row>
    <row r="167" customFormat="false" ht="12.75" hidden="false" customHeight="false" outlineLevel="0" collapsed="false">
      <c r="A167" s="6" t="n">
        <v>37288</v>
      </c>
      <c r="B167" s="7" t="n">
        <v>0.41875</v>
      </c>
      <c r="C167" s="8" t="n">
        <v>25373905</v>
      </c>
      <c r="D167" s="9" t="n">
        <v>9.98</v>
      </c>
    </row>
    <row r="168" customFormat="false" ht="12.75" hidden="false" customHeight="false" outlineLevel="0" collapsed="false">
      <c r="A168" s="6" t="n">
        <v>37298</v>
      </c>
      <c r="B168" s="7" t="n">
        <v>0.504166666666667</v>
      </c>
      <c r="C168" s="8" t="n">
        <v>200000</v>
      </c>
      <c r="D168" s="9" t="n">
        <v>9.63</v>
      </c>
    </row>
    <row r="169" customFormat="false" ht="12.75" hidden="false" customHeight="false" outlineLevel="0" collapsed="false">
      <c r="A169" s="6" t="n">
        <v>37298</v>
      </c>
      <c r="B169" s="7" t="n">
        <v>0.504166666666667</v>
      </c>
      <c r="C169" s="8" t="n">
        <v>412672</v>
      </c>
      <c r="D169" s="9" t="n">
        <v>9.63</v>
      </c>
    </row>
    <row r="170" customFormat="false" ht="12.75" hidden="false" customHeight="false" outlineLevel="0" collapsed="false">
      <c r="A170" s="6" t="n">
        <v>37308</v>
      </c>
      <c r="B170" s="7" t="n">
        <v>0.430555555555556</v>
      </c>
      <c r="C170" s="8" t="n">
        <v>100000</v>
      </c>
      <c r="D170" s="9" t="n">
        <v>10.32</v>
      </c>
    </row>
    <row r="171" customFormat="false" ht="12.75" hidden="false" customHeight="false" outlineLevel="0" collapsed="false">
      <c r="A171" s="6" t="n">
        <v>37308</v>
      </c>
      <c r="B171" s="7" t="n">
        <v>0.435416666666667</v>
      </c>
      <c r="C171" s="8" t="n">
        <v>100000</v>
      </c>
      <c r="D171" s="9" t="n">
        <v>10.06</v>
      </c>
    </row>
    <row r="172" customFormat="false" ht="12.75" hidden="false" customHeight="false" outlineLevel="0" collapsed="false">
      <c r="A172" s="6" t="n">
        <v>37308</v>
      </c>
      <c r="B172" s="7" t="n">
        <v>0.438888888888889</v>
      </c>
      <c r="C172" s="8" t="n">
        <v>168659</v>
      </c>
      <c r="D172" s="9" t="n">
        <v>10</v>
      </c>
    </row>
    <row r="173" customFormat="false" ht="12.75" hidden="false" customHeight="false" outlineLevel="0" collapsed="false">
      <c r="A173" s="6" t="n">
        <v>37329</v>
      </c>
      <c r="B173" s="7" t="n">
        <v>0.522222222222222</v>
      </c>
      <c r="C173" s="8" t="n">
        <v>8000</v>
      </c>
      <c r="D173" s="9" t="n">
        <v>10.19</v>
      </c>
    </row>
    <row r="174" customFormat="false" ht="12.75" hidden="false" customHeight="false" outlineLevel="0" collapsed="false">
      <c r="A174" s="6" t="n">
        <v>37330</v>
      </c>
      <c r="B174" s="7" t="n">
        <v>0.532638888888889</v>
      </c>
      <c r="C174" s="8" t="n">
        <v>150000</v>
      </c>
      <c r="D174" s="9" t="n">
        <v>9.8</v>
      </c>
    </row>
    <row r="175" customFormat="false" ht="12.75" hidden="false" customHeight="false" outlineLevel="0" collapsed="false">
      <c r="A175" s="6" t="n">
        <v>37333</v>
      </c>
      <c r="B175" s="7" t="n">
        <v>0.495833333333333</v>
      </c>
      <c r="C175" s="8" t="n">
        <v>150000</v>
      </c>
      <c r="D175" s="9" t="n">
        <v>10.03</v>
      </c>
    </row>
    <row r="176" customFormat="false" ht="12.75" hidden="false" customHeight="false" outlineLevel="0" collapsed="false">
      <c r="A176" s="6" t="n">
        <v>37333</v>
      </c>
      <c r="B176" s="7" t="n">
        <v>0.520833333333333</v>
      </c>
      <c r="C176" s="8" t="n">
        <v>150000</v>
      </c>
      <c r="D176" s="9" t="n">
        <v>10</v>
      </c>
    </row>
    <row r="177" customFormat="false" ht="12.75" hidden="false" customHeight="false" outlineLevel="0" collapsed="false">
      <c r="A177" s="6" t="n">
        <v>37358</v>
      </c>
      <c r="B177" s="7" t="n">
        <v>0.420138888888889</v>
      </c>
      <c r="C177" s="8" t="n">
        <v>100000</v>
      </c>
      <c r="D177" s="9" t="n">
        <v>9.75</v>
      </c>
    </row>
    <row r="178" customFormat="false" ht="12.75" hidden="false" customHeight="false" outlineLevel="0" collapsed="false">
      <c r="A178" s="6" t="n">
        <v>37358</v>
      </c>
      <c r="B178" s="7" t="n">
        <v>0.420138888888889</v>
      </c>
      <c r="C178" s="8" t="n">
        <v>15000</v>
      </c>
      <c r="D178" s="9" t="n">
        <v>9.75</v>
      </c>
    </row>
    <row r="179" customFormat="false" ht="12.75" hidden="false" customHeight="false" outlineLevel="0" collapsed="false">
      <c r="A179" s="6" t="n">
        <v>37358</v>
      </c>
      <c r="B179" s="7" t="n">
        <v>0.420138888888889</v>
      </c>
      <c r="C179" s="8" t="n">
        <v>2000</v>
      </c>
      <c r="D179" s="9" t="n">
        <v>9.75</v>
      </c>
    </row>
    <row r="180" customFormat="false" ht="12.75" hidden="false" customHeight="false" outlineLevel="0" collapsed="false">
      <c r="A180" s="6" t="n">
        <v>37358</v>
      </c>
      <c r="B180" s="7" t="n">
        <v>0.422222222222222</v>
      </c>
      <c r="C180" s="8" t="n">
        <v>1000</v>
      </c>
      <c r="D180" s="9" t="n">
        <v>9.65</v>
      </c>
    </row>
    <row r="181" customFormat="false" ht="12.75" hidden="false" customHeight="false" outlineLevel="0" collapsed="false">
      <c r="A181" s="6" t="n">
        <v>37361</v>
      </c>
      <c r="B181" s="7" t="n">
        <v>0.508333333333333</v>
      </c>
      <c r="C181" s="8" t="n">
        <v>97000</v>
      </c>
      <c r="D181" s="9" t="n">
        <v>9.3</v>
      </c>
    </row>
    <row r="182" customFormat="false" ht="12.75" hidden="false" customHeight="false" outlineLevel="0" collapsed="false">
      <c r="A182" s="6" t="n">
        <v>37382</v>
      </c>
      <c r="B182" s="7" t="n">
        <v>0.41875</v>
      </c>
      <c r="C182" s="8" t="n">
        <v>700000</v>
      </c>
      <c r="D182" s="9" t="n">
        <v>9.55</v>
      </c>
    </row>
    <row r="183" customFormat="false" ht="12.75" hidden="false" customHeight="false" outlineLevel="0" collapsed="false">
      <c r="A183" s="6" t="n">
        <v>37390</v>
      </c>
      <c r="B183" s="7" t="n">
        <v>0.470833333333333</v>
      </c>
      <c r="C183" s="8" t="n">
        <v>500000</v>
      </c>
      <c r="D183" s="9" t="n">
        <v>8.5</v>
      </c>
    </row>
    <row r="184" customFormat="false" ht="12.75" hidden="false" customHeight="false" outlineLevel="0" collapsed="false">
      <c r="A184" s="6" t="n">
        <v>37390</v>
      </c>
      <c r="B184" s="7" t="n">
        <v>0.470833333333333</v>
      </c>
      <c r="C184" s="8" t="n">
        <v>3700000</v>
      </c>
      <c r="D184" s="9" t="n">
        <v>8.5</v>
      </c>
    </row>
    <row r="185" customFormat="false" ht="12.75" hidden="false" customHeight="false" outlineLevel="0" collapsed="false">
      <c r="A185" s="6" t="n">
        <v>37390</v>
      </c>
      <c r="B185" s="7" t="n">
        <v>0.470833333333333</v>
      </c>
      <c r="C185" s="8" t="n">
        <v>10466214</v>
      </c>
      <c r="D185" s="9" t="n">
        <v>8.5</v>
      </c>
    </row>
    <row r="186" customFormat="false" ht="12.75" hidden="false" customHeight="false" outlineLevel="0" collapsed="false">
      <c r="A186" s="6" t="n">
        <v>37390</v>
      </c>
      <c r="B186" s="7" t="n">
        <v>0.473611111111111</v>
      </c>
      <c r="C186" s="8" t="n">
        <v>3700000</v>
      </c>
      <c r="D186" s="9" t="n">
        <v>8.48</v>
      </c>
    </row>
    <row r="187" customFormat="false" ht="12.75" hidden="false" customHeight="false" outlineLevel="0" collapsed="false">
      <c r="A187" s="6" t="n">
        <v>37392</v>
      </c>
      <c r="B187" s="7" t="n">
        <v>0.469444444444444</v>
      </c>
      <c r="C187" s="8" t="n">
        <v>18014</v>
      </c>
      <c r="D187" s="9" t="n">
        <v>8.49</v>
      </c>
    </row>
    <row r="188" customFormat="false" ht="12.75" hidden="false" customHeight="false" outlineLevel="0" collapsed="false">
      <c r="A188" s="6" t="n">
        <v>37396</v>
      </c>
      <c r="B188" s="7" t="n">
        <v>0.41875</v>
      </c>
      <c r="C188" s="8" t="n">
        <v>100000</v>
      </c>
      <c r="D188" s="9" t="n">
        <v>8.32</v>
      </c>
    </row>
    <row r="189" customFormat="false" ht="12.75" hidden="false" customHeight="false" outlineLevel="0" collapsed="false">
      <c r="A189" s="6" t="n">
        <v>37398</v>
      </c>
      <c r="B189" s="7" t="n">
        <v>0.417361111111111</v>
      </c>
      <c r="C189" s="8" t="n">
        <v>387491</v>
      </c>
      <c r="D189" s="9" t="n">
        <v>8.49</v>
      </c>
    </row>
    <row r="190" customFormat="false" ht="12.75" hidden="false" customHeight="false" outlineLevel="0" collapsed="false">
      <c r="A190" s="6" t="n">
        <v>37398</v>
      </c>
      <c r="B190" s="7" t="n">
        <v>0.417361111111111</v>
      </c>
      <c r="C190" s="8" t="n">
        <v>640237</v>
      </c>
      <c r="D190" s="9" t="n">
        <v>8.49</v>
      </c>
    </row>
    <row r="191" customFormat="false" ht="12.75" hidden="false" customHeight="false" outlineLevel="0" collapsed="false">
      <c r="A191" s="6" t="n">
        <v>37398</v>
      </c>
      <c r="B191" s="7" t="n">
        <v>0.445138888888889</v>
      </c>
      <c r="C191" s="8" t="n">
        <v>34003</v>
      </c>
      <c r="D191" s="9" t="n">
        <v>8.45</v>
      </c>
    </row>
    <row r="192" customFormat="false" ht="12.75" hidden="false" customHeight="false" outlineLevel="0" collapsed="false">
      <c r="A192" s="6" t="n">
        <v>37398</v>
      </c>
      <c r="B192" s="7" t="n">
        <v>0.445138888888889</v>
      </c>
      <c r="C192" s="8" t="n">
        <v>65997</v>
      </c>
      <c r="D192" s="9" t="n">
        <v>8.45</v>
      </c>
    </row>
    <row r="193" customFormat="false" ht="12.75" hidden="false" customHeight="false" outlineLevel="0" collapsed="false">
      <c r="A193" s="6" t="n">
        <v>37399</v>
      </c>
      <c r="B193" s="7" t="n">
        <v>0.49375</v>
      </c>
      <c r="C193" s="8" t="n">
        <v>526489</v>
      </c>
      <c r="D193" s="9" t="n">
        <v>8.09</v>
      </c>
    </row>
    <row r="194" customFormat="false" ht="12.75" hidden="false" customHeight="false" outlineLevel="0" collapsed="false">
      <c r="A194" s="6" t="n">
        <v>37399</v>
      </c>
      <c r="B194" s="7" t="n">
        <v>0.497222222222222</v>
      </c>
      <c r="C194" s="8" t="n">
        <v>1000000</v>
      </c>
      <c r="D194" s="9" t="n">
        <v>8.09</v>
      </c>
    </row>
    <row r="195" customFormat="false" ht="12.75" hidden="false" customHeight="false" outlineLevel="0" collapsed="false">
      <c r="A195" s="6" t="n">
        <v>37399</v>
      </c>
      <c r="B195" s="7" t="n">
        <v>0.5</v>
      </c>
      <c r="C195" s="8" t="n">
        <v>100000</v>
      </c>
      <c r="D195" s="9" t="n">
        <v>8.1</v>
      </c>
    </row>
    <row r="196" customFormat="false" ht="12.75" hidden="false" customHeight="false" outlineLevel="0" collapsed="false">
      <c r="A196" s="6" t="n">
        <v>37400</v>
      </c>
      <c r="B196" s="7" t="n">
        <v>0.45625</v>
      </c>
      <c r="C196" s="8" t="n">
        <v>100000</v>
      </c>
      <c r="D196" s="9" t="n">
        <v>8</v>
      </c>
    </row>
    <row r="197" customFormat="false" ht="12.75" hidden="false" customHeight="false" outlineLevel="0" collapsed="false">
      <c r="A197" s="6" t="n">
        <v>37400</v>
      </c>
      <c r="B197" s="7" t="n">
        <v>0.461805555555556</v>
      </c>
      <c r="C197" s="8" t="n">
        <v>100000</v>
      </c>
      <c r="D197" s="9" t="n">
        <v>8</v>
      </c>
    </row>
    <row r="198" customFormat="false" ht="12.75" hidden="false" customHeight="false" outlineLevel="0" collapsed="false">
      <c r="A198" s="6" t="n">
        <v>37400</v>
      </c>
      <c r="B198" s="7" t="n">
        <v>0.467361111111111</v>
      </c>
      <c r="C198" s="8" t="n">
        <v>500000</v>
      </c>
      <c r="D198" s="9" t="n">
        <v>8</v>
      </c>
    </row>
    <row r="199" customFormat="false" ht="12.75" hidden="false" customHeight="false" outlineLevel="0" collapsed="false">
      <c r="A199" s="6" t="n">
        <v>37400</v>
      </c>
      <c r="B199" s="7" t="n">
        <v>0.470833333333333</v>
      </c>
      <c r="C199" s="8" t="n">
        <v>500000</v>
      </c>
      <c r="D199" s="9" t="n">
        <v>8</v>
      </c>
    </row>
    <row r="200" customFormat="false" ht="12.75" hidden="false" customHeight="false" outlineLevel="0" collapsed="false">
      <c r="A200" s="6" t="n">
        <v>37400</v>
      </c>
      <c r="B200" s="7" t="n">
        <v>0.474305555555556</v>
      </c>
      <c r="C200" s="8" t="n">
        <v>500000</v>
      </c>
      <c r="D200" s="9" t="n">
        <v>8</v>
      </c>
    </row>
    <row r="201" customFormat="false" ht="12.75" hidden="false" customHeight="false" outlineLevel="0" collapsed="false">
      <c r="A201" s="6" t="n">
        <v>37400</v>
      </c>
      <c r="B201" s="7" t="n">
        <v>0.474305555555556</v>
      </c>
      <c r="C201" s="8" t="n">
        <v>500000</v>
      </c>
      <c r="D201" s="9" t="n">
        <v>8</v>
      </c>
    </row>
    <row r="202" customFormat="false" ht="12.75" hidden="false" customHeight="false" outlineLevel="0" collapsed="false">
      <c r="A202" s="6" t="n">
        <v>37400</v>
      </c>
      <c r="B202" s="7" t="n">
        <v>0.475694444444444</v>
      </c>
      <c r="C202" s="8" t="n">
        <v>20200000</v>
      </c>
      <c r="D202" s="9" t="n">
        <v>8</v>
      </c>
    </row>
    <row r="203" customFormat="false" ht="12.75" hidden="false" customHeight="false" outlineLevel="0" collapsed="false">
      <c r="A203" s="6" t="n">
        <v>37400</v>
      </c>
      <c r="B203" s="7" t="n">
        <v>0.479861111111111</v>
      </c>
      <c r="C203" s="8" t="n">
        <v>2000000</v>
      </c>
      <c r="D203" s="9" t="n">
        <v>8</v>
      </c>
    </row>
    <row r="204" customFormat="false" ht="12.75" hidden="false" customHeight="false" outlineLevel="0" collapsed="false">
      <c r="A204" s="6" t="n">
        <v>37400</v>
      </c>
      <c r="B204" s="7" t="n">
        <v>0.529861111111111</v>
      </c>
      <c r="C204" s="8" t="n">
        <v>36318</v>
      </c>
      <c r="D204" s="9" t="n">
        <v>8</v>
      </c>
    </row>
    <row r="205" customFormat="false" ht="12.75" hidden="false" customHeight="false" outlineLevel="0" collapsed="false">
      <c r="A205" s="6" t="n">
        <v>37403</v>
      </c>
      <c r="B205" s="7" t="n">
        <v>0.454861111111111</v>
      </c>
      <c r="C205" s="8" t="n">
        <v>96112</v>
      </c>
      <c r="D205" s="9" t="n">
        <v>8</v>
      </c>
    </row>
    <row r="206" customFormat="false" ht="12.75" hidden="false" customHeight="false" outlineLevel="0" collapsed="false">
      <c r="A206" s="6" t="n">
        <v>37403</v>
      </c>
      <c r="B206" s="7" t="n">
        <v>0.466666666666667</v>
      </c>
      <c r="C206" s="8" t="n">
        <v>1085847</v>
      </c>
      <c r="D206" s="9" t="n">
        <v>8</v>
      </c>
    </row>
    <row r="207" customFormat="false" ht="12.75" hidden="false" customHeight="false" outlineLevel="0" collapsed="false">
      <c r="A207" s="6" t="n">
        <v>37403</v>
      </c>
      <c r="B207" s="7" t="n">
        <v>0.509722222222222</v>
      </c>
      <c r="C207" s="8" t="n">
        <v>959971</v>
      </c>
      <c r="D207" s="9" t="n">
        <v>8</v>
      </c>
    </row>
    <row r="208" customFormat="false" ht="12.75" hidden="false" customHeight="false" outlineLevel="0" collapsed="false">
      <c r="A208" s="6" t="n">
        <v>37404</v>
      </c>
      <c r="B208" s="9" t="s">
        <v>6</v>
      </c>
      <c r="C208" s="8" t="n">
        <v>25806</v>
      </c>
      <c r="D208" s="9" t="n">
        <v>8.01</v>
      </c>
    </row>
    <row r="209" customFormat="false" ht="12.75" hidden="false" customHeight="false" outlineLevel="0" collapsed="false">
      <c r="A209" s="6" t="n">
        <v>37404</v>
      </c>
      <c r="B209" s="9" t="s">
        <v>7</v>
      </c>
      <c r="C209" s="8" t="n">
        <v>100000</v>
      </c>
      <c r="D209" s="9" t="n">
        <v>8</v>
      </c>
    </row>
    <row r="210" customFormat="false" ht="12.75" hidden="false" customHeight="false" outlineLevel="0" collapsed="false">
      <c r="A210" s="6" t="n">
        <v>37404</v>
      </c>
      <c r="B210" s="9" t="s">
        <v>7</v>
      </c>
      <c r="C210" s="8" t="n">
        <v>5295223</v>
      </c>
      <c r="D210" s="9" t="n">
        <v>8</v>
      </c>
    </row>
    <row r="211" customFormat="false" ht="12.75" hidden="false" customHeight="false" outlineLevel="0" collapsed="false">
      <c r="A211" s="6" t="n">
        <v>37406</v>
      </c>
      <c r="B211" s="9" t="s">
        <v>8</v>
      </c>
      <c r="C211" s="8" t="n">
        <v>218543</v>
      </c>
      <c r="D211" s="9" t="n">
        <v>8</v>
      </c>
    </row>
    <row r="212" customFormat="false" ht="12.75" hidden="false" customHeight="false" outlineLevel="0" collapsed="false">
      <c r="A212" s="6" t="n">
        <v>37410</v>
      </c>
      <c r="B212" s="7" t="n">
        <v>0.454166666666667</v>
      </c>
      <c r="C212" s="8" t="n">
        <v>67000</v>
      </c>
      <c r="D212" s="9" t="n">
        <v>8</v>
      </c>
    </row>
    <row r="213" customFormat="false" ht="12.75" hidden="false" customHeight="false" outlineLevel="0" collapsed="false">
      <c r="A213" s="6" t="n">
        <v>37410</v>
      </c>
      <c r="B213" s="7" t="n">
        <v>0.492361111111111</v>
      </c>
      <c r="C213" s="8" t="n">
        <v>104500</v>
      </c>
      <c r="D213" s="9" t="n">
        <v>8</v>
      </c>
    </row>
    <row r="214" customFormat="false" ht="12.75" hidden="false" customHeight="false" outlineLevel="0" collapsed="false">
      <c r="A214" s="6" t="n">
        <v>37410</v>
      </c>
      <c r="B214" s="7" t="n">
        <v>0.522916666666667</v>
      </c>
      <c r="C214" s="8" t="n">
        <v>1686126</v>
      </c>
      <c r="D214" s="9" t="n">
        <v>8.14</v>
      </c>
    </row>
    <row r="215" customFormat="false" ht="12.75" hidden="false" customHeight="false" outlineLevel="0" collapsed="false">
      <c r="A215" s="6" t="n">
        <v>37411</v>
      </c>
      <c r="B215" s="7" t="n">
        <v>0.505555555555556</v>
      </c>
      <c r="C215" s="8" t="n">
        <v>56395</v>
      </c>
      <c r="D215" s="9" t="n">
        <v>8.03</v>
      </c>
    </row>
    <row r="216" customFormat="false" ht="12.75" hidden="false" customHeight="false" outlineLevel="0" collapsed="false">
      <c r="A216" s="6" t="n">
        <v>37412</v>
      </c>
      <c r="B216" s="7" t="n">
        <v>0.48125</v>
      </c>
      <c r="C216" s="8" t="n">
        <v>185132</v>
      </c>
      <c r="D216" s="9" t="n">
        <v>8.09</v>
      </c>
    </row>
    <row r="217" customFormat="false" ht="12.75" hidden="false" customHeight="false" outlineLevel="0" collapsed="false">
      <c r="A217" s="6" t="n">
        <v>37417</v>
      </c>
      <c r="B217" s="7" t="n">
        <v>0.475</v>
      </c>
      <c r="C217" s="8" t="n">
        <v>154525</v>
      </c>
      <c r="D217" s="9" t="n">
        <v>8.13</v>
      </c>
    </row>
    <row r="218" customFormat="false" ht="12.75" hidden="false" customHeight="false" outlineLevel="0" collapsed="false">
      <c r="A218" s="6" t="n">
        <v>37421</v>
      </c>
      <c r="B218" s="7" t="n">
        <v>0.480555555555556</v>
      </c>
      <c r="C218" s="8" t="n">
        <v>1576668</v>
      </c>
      <c r="D218" s="9" t="n">
        <v>8.28</v>
      </c>
    </row>
    <row r="219" customFormat="false" ht="12.75" hidden="false" customHeight="false" outlineLevel="0" collapsed="false">
      <c r="A219" s="6" t="n">
        <v>37425</v>
      </c>
      <c r="B219" s="7" t="n">
        <v>0.46875</v>
      </c>
      <c r="C219" s="8" t="n">
        <v>178834</v>
      </c>
      <c r="D219" s="9" t="n">
        <v>8.18</v>
      </c>
    </row>
    <row r="220" customFormat="false" ht="12.75" hidden="false" customHeight="false" outlineLevel="0" collapsed="false">
      <c r="A220" s="6" t="n">
        <v>37425</v>
      </c>
      <c r="B220" s="7" t="n">
        <v>0.475</v>
      </c>
      <c r="C220" s="8" t="n">
        <v>893880</v>
      </c>
      <c r="D220" s="9" t="n">
        <v>8.29</v>
      </c>
    </row>
    <row r="221" customFormat="false" ht="12.75" hidden="false" customHeight="false" outlineLevel="0" collapsed="false">
      <c r="A221" s="6" t="n">
        <v>37426</v>
      </c>
      <c r="B221" s="7" t="n">
        <v>0.46875</v>
      </c>
      <c r="C221" s="8" t="n">
        <v>14110</v>
      </c>
      <c r="D221" s="9" t="n">
        <v>8.18</v>
      </c>
    </row>
    <row r="222" customFormat="false" ht="12.75" hidden="false" customHeight="false" outlineLevel="0" collapsed="false">
      <c r="A222" s="6" t="n">
        <v>37426</v>
      </c>
      <c r="B222" s="7" t="n">
        <v>0.480555555555556</v>
      </c>
      <c r="C222" s="8" t="n">
        <v>300000</v>
      </c>
      <c r="D222" s="9" t="n">
        <v>8.29</v>
      </c>
    </row>
    <row r="223" customFormat="false" ht="12.75" hidden="false" customHeight="false" outlineLevel="0" collapsed="false">
      <c r="A223" s="6" t="n">
        <v>37426</v>
      </c>
      <c r="B223" s="7" t="n">
        <v>0.483333333333333</v>
      </c>
      <c r="C223" s="8" t="n">
        <v>10000000</v>
      </c>
      <c r="D223" s="9" t="n">
        <v>8.28</v>
      </c>
    </row>
    <row r="224" customFormat="false" ht="12.75" hidden="false" customHeight="false" outlineLevel="0" collapsed="false">
      <c r="A224" s="6" t="n">
        <v>37426</v>
      </c>
      <c r="B224" s="7" t="n">
        <v>0.529166666666667</v>
      </c>
      <c r="C224" s="8" t="n">
        <v>50172</v>
      </c>
      <c r="D224" s="9" t="n">
        <v>8.28</v>
      </c>
    </row>
    <row r="225" customFormat="false" ht="12.75" hidden="false" customHeight="false" outlineLevel="0" collapsed="false">
      <c r="A225" s="6" t="n">
        <v>37426</v>
      </c>
      <c r="B225" s="7" t="n">
        <v>0.529166666666667</v>
      </c>
      <c r="C225" s="8" t="n">
        <v>551716</v>
      </c>
      <c r="D225" s="9" t="n">
        <v>8.28</v>
      </c>
    </row>
    <row r="226" customFormat="false" ht="12.75" hidden="false" customHeight="false" outlineLevel="0" collapsed="false">
      <c r="A226" s="6" t="n">
        <v>37427</v>
      </c>
      <c r="B226" s="7" t="n">
        <v>0.50625</v>
      </c>
      <c r="C226" s="8" t="n">
        <v>100000</v>
      </c>
      <c r="D226" s="9" t="n">
        <v>8.32</v>
      </c>
    </row>
    <row r="227" customFormat="false" ht="12.75" hidden="false" customHeight="false" outlineLevel="0" collapsed="false">
      <c r="A227" s="6" t="n">
        <v>37427</v>
      </c>
      <c r="B227" s="7" t="n">
        <v>0.509722222222222</v>
      </c>
      <c r="C227" s="8" t="n">
        <v>100000</v>
      </c>
      <c r="D227" s="9" t="n">
        <v>8.33</v>
      </c>
    </row>
    <row r="228" customFormat="false" ht="12.75" hidden="false" customHeight="false" outlineLevel="0" collapsed="false">
      <c r="A228" s="6" t="n">
        <v>37427</v>
      </c>
      <c r="B228" s="7" t="n">
        <v>0.5125</v>
      </c>
      <c r="C228" s="8" t="n">
        <v>100000</v>
      </c>
      <c r="D228" s="9" t="n">
        <v>8.33</v>
      </c>
    </row>
    <row r="229" customFormat="false" ht="12.75" hidden="false" customHeight="false" outlineLevel="0" collapsed="false">
      <c r="A229" s="6" t="n">
        <v>37427</v>
      </c>
      <c r="B229" s="7" t="n">
        <v>0.518055555555556</v>
      </c>
      <c r="C229" s="8" t="n">
        <v>100000</v>
      </c>
      <c r="D229" s="9" t="n">
        <v>8.34</v>
      </c>
    </row>
    <row r="230" customFormat="false" ht="12.75" hidden="false" customHeight="false" outlineLevel="0" collapsed="false">
      <c r="A230" s="6" t="n">
        <v>37427</v>
      </c>
      <c r="B230" s="7" t="n">
        <v>0.521527777777778</v>
      </c>
      <c r="C230" s="8" t="n">
        <v>100000</v>
      </c>
      <c r="D230" s="9" t="n">
        <v>8.33</v>
      </c>
    </row>
    <row r="231" customFormat="false" ht="12.75" hidden="false" customHeight="false" outlineLevel="0" collapsed="false">
      <c r="A231" s="6" t="n">
        <v>37427</v>
      </c>
      <c r="B231" s="7" t="n">
        <v>0.529861111111111</v>
      </c>
      <c r="C231" s="8" t="n">
        <v>6104736</v>
      </c>
      <c r="D231" s="9" t="n">
        <v>8.33</v>
      </c>
    </row>
    <row r="232" customFormat="false" ht="12.75" hidden="false" customHeight="false" outlineLevel="0" collapsed="false">
      <c r="A232" s="6" t="n">
        <v>37431</v>
      </c>
      <c r="B232" s="7" t="n">
        <v>0.48125</v>
      </c>
      <c r="C232" s="8" t="n">
        <v>640000</v>
      </c>
      <c r="D232" s="9" t="n">
        <v>8.41</v>
      </c>
    </row>
    <row r="233" customFormat="false" ht="12.75" hidden="false" customHeight="false" outlineLevel="0" collapsed="false">
      <c r="A233" s="6" t="n">
        <v>37431</v>
      </c>
      <c r="B233" s="7" t="n">
        <v>0.515277777777778</v>
      </c>
      <c r="C233" s="8" t="n">
        <v>807641</v>
      </c>
      <c r="D233" s="9" t="n">
        <v>8.42</v>
      </c>
    </row>
    <row r="234" customFormat="false" ht="12.75" hidden="false" customHeight="false" outlineLevel="0" collapsed="false">
      <c r="A234" s="6" t="n">
        <v>37431</v>
      </c>
      <c r="B234" s="7" t="n">
        <v>0.518055555555556</v>
      </c>
      <c r="C234" s="9" t="n">
        <v>40</v>
      </c>
      <c r="D234" s="9" t="n">
        <v>8.41</v>
      </c>
    </row>
    <row r="235" customFormat="false" ht="12.75" hidden="false" customHeight="false" outlineLevel="0" collapsed="false">
      <c r="A235" s="6" t="n">
        <v>37435</v>
      </c>
      <c r="B235" s="7" t="n">
        <v>0.418055555555556</v>
      </c>
      <c r="C235" s="8" t="n">
        <v>1812708</v>
      </c>
      <c r="D235" s="9" t="n">
        <v>8.35</v>
      </c>
    </row>
    <row r="236" customFormat="false" ht="12.75" hidden="false" customHeight="false" outlineLevel="0" collapsed="false">
      <c r="A236" s="6" t="n">
        <v>37435</v>
      </c>
      <c r="B236" s="7" t="n">
        <v>0.421527777777778</v>
      </c>
      <c r="C236" s="8" t="n">
        <v>54125</v>
      </c>
      <c r="D236" s="9" t="n">
        <v>8.35</v>
      </c>
    </row>
    <row r="237" customFormat="false" ht="12.75" hidden="false" customHeight="false" outlineLevel="0" collapsed="false">
      <c r="A237" s="6" t="n">
        <v>37435</v>
      </c>
      <c r="B237" s="7" t="n">
        <v>0.421527777777778</v>
      </c>
      <c r="C237" s="8" t="n">
        <v>2900000</v>
      </c>
      <c r="D237" s="9" t="n">
        <v>8.35</v>
      </c>
    </row>
    <row r="238" customFormat="false" ht="12.75" hidden="false" customHeight="false" outlineLevel="0" collapsed="false">
      <c r="A238" s="6" t="n">
        <v>37438</v>
      </c>
      <c r="B238" s="7" t="n">
        <v>0.427777777777778</v>
      </c>
      <c r="C238" s="8" t="n">
        <v>93991</v>
      </c>
      <c r="D238" s="9" t="n">
        <v>8.42</v>
      </c>
    </row>
    <row r="239" customFormat="false" ht="12.75" hidden="false" customHeight="false" outlineLevel="0" collapsed="false">
      <c r="A239" s="6" t="n">
        <v>37439</v>
      </c>
      <c r="B239" s="7" t="n">
        <v>0.498611111111111</v>
      </c>
      <c r="C239" s="8" t="n">
        <v>1000000</v>
      </c>
      <c r="D239" s="9" t="n">
        <v>8.4</v>
      </c>
    </row>
    <row r="240" customFormat="false" ht="12.75" hidden="false" customHeight="false" outlineLevel="0" collapsed="false">
      <c r="A240" s="6" t="n">
        <v>37442</v>
      </c>
      <c r="B240" s="7" t="n">
        <v>0.500694444444444</v>
      </c>
      <c r="C240" s="8" t="n">
        <v>1565019</v>
      </c>
      <c r="D240" s="9" t="n">
        <v>8.42</v>
      </c>
    </row>
    <row r="241" customFormat="false" ht="12.75" hidden="false" customHeight="false" outlineLevel="0" collapsed="false">
      <c r="A241" s="6" t="n">
        <v>37446</v>
      </c>
      <c r="B241" s="7" t="n">
        <v>0.504861111111111</v>
      </c>
      <c r="C241" s="8" t="n">
        <v>947081</v>
      </c>
      <c r="D241" s="9" t="n">
        <v>8.42</v>
      </c>
    </row>
    <row r="242" customFormat="false" ht="12.75" hidden="false" customHeight="false" outlineLevel="0" collapsed="false">
      <c r="A242" s="6" t="n">
        <v>37449</v>
      </c>
      <c r="B242" s="7" t="n">
        <v>0.477777777777778</v>
      </c>
      <c r="C242" s="8" t="n">
        <v>53525</v>
      </c>
      <c r="D242" s="9" t="n">
        <v>8.42</v>
      </c>
    </row>
    <row r="243" customFormat="false" ht="12.75" hidden="false" customHeight="false" outlineLevel="0" collapsed="false">
      <c r="A243" s="6" t="n">
        <v>37452</v>
      </c>
      <c r="B243" s="7" t="n">
        <v>0.477777777777778</v>
      </c>
      <c r="C243" s="8" t="n">
        <v>51413</v>
      </c>
      <c r="D243" s="9" t="n">
        <v>8.42</v>
      </c>
    </row>
    <row r="244" customFormat="false" ht="12.75" hidden="false" customHeight="false" outlineLevel="0" collapsed="false">
      <c r="A244" s="6" t="n">
        <v>37453</v>
      </c>
      <c r="B244" s="7" t="n">
        <v>0.442361111111111</v>
      </c>
      <c r="C244" s="8" t="n">
        <v>368752</v>
      </c>
      <c r="D244" s="9" t="n">
        <v>8.42</v>
      </c>
    </row>
    <row r="245" customFormat="false" ht="12.75" hidden="false" customHeight="false" outlineLevel="0" collapsed="false">
      <c r="A245" s="6" t="n">
        <v>37453</v>
      </c>
      <c r="B245" s="7" t="n">
        <v>0.474305555555556</v>
      </c>
      <c r="C245" s="8" t="n">
        <v>676845</v>
      </c>
      <c r="D245" s="9" t="n">
        <v>8.42</v>
      </c>
    </row>
    <row r="246" customFormat="false" ht="12.75" hidden="false" customHeight="false" outlineLevel="0" collapsed="false">
      <c r="A246" s="6" t="n">
        <v>37453</v>
      </c>
      <c r="B246" s="7" t="n">
        <v>0.477083333333333</v>
      </c>
      <c r="C246" s="8" t="n">
        <v>11507</v>
      </c>
      <c r="D246" s="9" t="n">
        <v>8.42</v>
      </c>
    </row>
    <row r="247" customFormat="false" ht="12.75" hidden="false" customHeight="false" outlineLevel="0" collapsed="false">
      <c r="A247" s="6" t="n">
        <v>37453</v>
      </c>
      <c r="B247" s="7" t="n">
        <v>0.538194444444444</v>
      </c>
      <c r="C247" s="8" t="n">
        <v>74927</v>
      </c>
      <c r="D247" s="9" t="n">
        <v>8.42</v>
      </c>
    </row>
    <row r="248" customFormat="false" ht="12.75" hidden="false" customHeight="false" outlineLevel="0" collapsed="false">
      <c r="A248" s="6" t="n">
        <v>37454</v>
      </c>
      <c r="B248" s="7" t="n">
        <v>0.425694444444444</v>
      </c>
      <c r="C248" s="8" t="n">
        <v>422422</v>
      </c>
      <c r="D248" s="9" t="n">
        <v>8.42</v>
      </c>
    </row>
    <row r="249" customFormat="false" ht="12.75" hidden="false" customHeight="false" outlineLevel="0" collapsed="false">
      <c r="A249" s="6" t="n">
        <v>37454</v>
      </c>
      <c r="B249" s="7" t="n">
        <v>0.434722222222222</v>
      </c>
      <c r="C249" s="8" t="n">
        <v>57251</v>
      </c>
      <c r="D249" s="9" t="n">
        <v>8.42</v>
      </c>
    </row>
    <row r="250" customFormat="false" ht="12.75" hidden="false" customHeight="false" outlineLevel="0" collapsed="false">
      <c r="A250" s="6" t="n">
        <v>37477</v>
      </c>
      <c r="B250" s="7" t="n">
        <v>0.527777777777778</v>
      </c>
      <c r="C250" s="8" t="n">
        <v>42257</v>
      </c>
      <c r="D250" s="9" t="n">
        <v>8.29</v>
      </c>
    </row>
    <row r="251" customFormat="false" ht="12.75" hidden="false" customHeight="false" outlineLevel="0" collapsed="false">
      <c r="A251" s="6" t="n">
        <v>37477</v>
      </c>
      <c r="B251" s="7" t="n">
        <v>0.531944444444444</v>
      </c>
      <c r="C251" s="8" t="n">
        <v>100000</v>
      </c>
      <c r="D251" s="9" t="n">
        <v>8.3</v>
      </c>
    </row>
    <row r="252" customFormat="false" ht="12.75" hidden="false" customHeight="false" outlineLevel="0" collapsed="false">
      <c r="A252" s="6" t="n">
        <v>37477</v>
      </c>
      <c r="B252" s="7" t="n">
        <v>0.531944444444444</v>
      </c>
      <c r="C252" s="8" t="n">
        <v>7042</v>
      </c>
      <c r="D252" s="9" t="n">
        <v>8.3</v>
      </c>
    </row>
    <row r="253" customFormat="false" ht="12.75" hidden="false" customHeight="false" outlineLevel="0" collapsed="false">
      <c r="A253" s="6" t="n">
        <v>37477</v>
      </c>
      <c r="B253" s="7" t="n">
        <v>0.5375</v>
      </c>
      <c r="C253" s="8" t="n">
        <v>210596</v>
      </c>
      <c r="D253" s="9" t="n">
        <v>8.3</v>
      </c>
    </row>
    <row r="254" customFormat="false" ht="12.75" hidden="false" customHeight="false" outlineLevel="0" collapsed="false">
      <c r="A254" s="6" t="n">
        <v>37480</v>
      </c>
      <c r="B254" s="7" t="n">
        <v>0.436805555555555</v>
      </c>
      <c r="C254" s="8" t="n">
        <v>121000</v>
      </c>
      <c r="D254" s="9" t="n">
        <v>8.3</v>
      </c>
    </row>
    <row r="255" customFormat="false" ht="12.75" hidden="false" customHeight="false" outlineLevel="0" collapsed="false">
      <c r="A255" s="6" t="n">
        <v>37482</v>
      </c>
      <c r="B255" s="7" t="n">
        <v>0.461805555555556</v>
      </c>
      <c r="C255" s="8" t="n">
        <v>105362</v>
      </c>
      <c r="D255" s="9" t="n">
        <v>8.3</v>
      </c>
    </row>
    <row r="256" customFormat="false" ht="12.75" hidden="false" customHeight="false" outlineLevel="0" collapsed="false">
      <c r="A256" s="6" t="n">
        <v>37496</v>
      </c>
      <c r="B256" s="7" t="n">
        <v>0.476388888888889</v>
      </c>
      <c r="C256" s="8" t="n">
        <v>340157</v>
      </c>
      <c r="D256" s="9" t="n">
        <v>8.25</v>
      </c>
    </row>
    <row r="257" customFormat="false" ht="12.75" hidden="false" customHeight="false" outlineLevel="0" collapsed="false">
      <c r="A257" s="6" t="n">
        <v>37498</v>
      </c>
      <c r="B257" s="7" t="n">
        <v>0.420138888888889</v>
      </c>
      <c r="C257" s="8" t="n">
        <v>55509</v>
      </c>
      <c r="D257" s="9" t="n">
        <v>8.25</v>
      </c>
    </row>
    <row r="258" customFormat="false" ht="12.75" hidden="false" customHeight="false" outlineLevel="0" collapsed="false">
      <c r="A258" s="6" t="n">
        <v>37498</v>
      </c>
      <c r="B258" s="7" t="n">
        <v>0.420138888888889</v>
      </c>
      <c r="C258" s="8" t="n">
        <v>123242</v>
      </c>
      <c r="D258" s="9" t="n">
        <v>8.25</v>
      </c>
    </row>
    <row r="259" customFormat="false" ht="12.75" hidden="false" customHeight="false" outlineLevel="0" collapsed="false">
      <c r="A259" s="6" t="n">
        <v>37498</v>
      </c>
      <c r="B259" s="7" t="n">
        <v>0.422222222222222</v>
      </c>
      <c r="C259" s="8" t="n">
        <v>345345</v>
      </c>
      <c r="D259" s="9" t="n">
        <v>8.2</v>
      </c>
    </row>
    <row r="260" customFormat="false" ht="12.75" hidden="false" customHeight="false" outlineLevel="0" collapsed="false">
      <c r="A260" s="6" t="n">
        <v>37498</v>
      </c>
      <c r="B260" s="7" t="n">
        <v>0.422222222222222</v>
      </c>
      <c r="C260" s="8" t="n">
        <v>154655</v>
      </c>
      <c r="D260" s="9" t="n">
        <v>8.2</v>
      </c>
    </row>
    <row r="261" customFormat="false" ht="12.75" hidden="false" customHeight="false" outlineLevel="0" collapsed="false">
      <c r="A261" s="6" t="n">
        <v>37498</v>
      </c>
      <c r="B261" s="7" t="n">
        <v>0.425</v>
      </c>
      <c r="C261" s="8" t="n">
        <v>287345</v>
      </c>
      <c r="D261" s="9" t="n">
        <v>8.2</v>
      </c>
    </row>
    <row r="262" customFormat="false" ht="12.75" hidden="false" customHeight="false" outlineLevel="0" collapsed="false">
      <c r="A262" s="6" t="n">
        <v>37502</v>
      </c>
      <c r="B262" s="7" t="n">
        <v>0.538194444444444</v>
      </c>
      <c r="C262" s="8" t="n">
        <v>135687</v>
      </c>
      <c r="D262" s="9" t="n">
        <v>8.2</v>
      </c>
    </row>
    <row r="263" customFormat="false" ht="12.75" hidden="false" customHeight="false" outlineLevel="0" collapsed="false">
      <c r="A263" s="6" t="n">
        <v>37502</v>
      </c>
      <c r="B263" s="7" t="n">
        <v>0.539583333333333</v>
      </c>
      <c r="C263" s="8" t="n">
        <v>33547</v>
      </c>
      <c r="D263" s="9" t="n">
        <v>8.23</v>
      </c>
    </row>
    <row r="264" customFormat="false" ht="12.75" hidden="false" customHeight="false" outlineLevel="0" collapsed="false">
      <c r="A264" s="6" t="n">
        <v>37515</v>
      </c>
      <c r="B264" s="7" t="n">
        <v>0.473611111111111</v>
      </c>
      <c r="C264" s="8" t="n">
        <v>37869</v>
      </c>
      <c r="D264" s="9" t="n">
        <v>8.35</v>
      </c>
    </row>
    <row r="265" customFormat="false" ht="12.75" hidden="false" customHeight="false" outlineLevel="0" collapsed="false">
      <c r="A265" s="6" t="n">
        <v>37517</v>
      </c>
      <c r="B265" s="7" t="n">
        <v>0.523611111111111</v>
      </c>
      <c r="C265" s="8" t="n">
        <v>524096</v>
      </c>
      <c r="D265" s="9" t="n">
        <v>8.63</v>
      </c>
    </row>
    <row r="266" customFormat="false" ht="12.75" hidden="false" customHeight="false" outlineLevel="0" collapsed="false">
      <c r="A266" s="6" t="n">
        <v>37518</v>
      </c>
      <c r="B266" s="7" t="n">
        <v>0.427777777777778</v>
      </c>
      <c r="C266" s="8" t="n">
        <v>200000</v>
      </c>
      <c r="D266" s="9" t="n">
        <v>8.68</v>
      </c>
    </row>
    <row r="267" customFormat="false" ht="12.75" hidden="false" customHeight="false" outlineLevel="0" collapsed="false">
      <c r="A267" s="6" t="n">
        <v>37518</v>
      </c>
      <c r="B267" s="7" t="n">
        <v>0.464583333333333</v>
      </c>
      <c r="C267" s="8" t="n">
        <v>10000</v>
      </c>
      <c r="D267" s="9" t="n">
        <v>8.68</v>
      </c>
    </row>
    <row r="268" customFormat="false" ht="12.75" hidden="false" customHeight="false" outlineLevel="0" collapsed="false">
      <c r="A268" s="6" t="n">
        <v>37518</v>
      </c>
      <c r="B268" s="7" t="n">
        <v>0.495833333333333</v>
      </c>
      <c r="C268" s="8" t="n">
        <v>1736904</v>
      </c>
      <c r="D268" s="9" t="n">
        <v>9.05</v>
      </c>
    </row>
    <row r="269" customFormat="false" ht="12.75" hidden="false" customHeight="false" outlineLevel="0" collapsed="false">
      <c r="A269" s="6" t="n">
        <v>37518</v>
      </c>
      <c r="B269" s="7" t="n">
        <v>0.495833333333333</v>
      </c>
      <c r="C269" s="8" t="n">
        <v>2106</v>
      </c>
      <c r="D269" s="9" t="n">
        <v>9.05</v>
      </c>
    </row>
    <row r="270" customFormat="false" ht="12.75" hidden="false" customHeight="false" outlineLevel="0" collapsed="false">
      <c r="A270" s="6" t="n">
        <v>37518</v>
      </c>
      <c r="B270" s="7" t="n">
        <v>0.495833333333333</v>
      </c>
      <c r="C270" s="8" t="n">
        <v>10000</v>
      </c>
      <c r="D270" s="9" t="n">
        <v>9.05</v>
      </c>
    </row>
    <row r="271" customFormat="false" ht="12.75" hidden="false" customHeight="false" outlineLevel="0" collapsed="false">
      <c r="A271" s="6" t="n">
        <v>37518</v>
      </c>
      <c r="B271" s="7" t="n">
        <v>0.505555555555556</v>
      </c>
      <c r="C271" s="8" t="n">
        <v>1736904</v>
      </c>
      <c r="D271" s="9" t="n">
        <v>9.18</v>
      </c>
    </row>
    <row r="272" customFormat="false" ht="12.75" hidden="false" customHeight="false" outlineLevel="0" collapsed="false">
      <c r="A272" s="6" t="n">
        <v>37518</v>
      </c>
      <c r="B272" s="7" t="n">
        <v>0.508333333333333</v>
      </c>
      <c r="C272" s="8" t="n">
        <v>700000</v>
      </c>
      <c r="D272" s="9" t="n">
        <v>9.28</v>
      </c>
    </row>
    <row r="273" customFormat="false" ht="12.75" hidden="false" customHeight="false" outlineLevel="0" collapsed="false">
      <c r="A273" s="6" t="n">
        <v>37518</v>
      </c>
      <c r="B273" s="7" t="n">
        <v>0.508333333333333</v>
      </c>
      <c r="C273" s="8" t="n">
        <v>1036904</v>
      </c>
      <c r="D273" s="9" t="n">
        <v>9.28</v>
      </c>
    </row>
    <row r="274" customFormat="false" ht="12.75" hidden="false" customHeight="false" outlineLevel="0" collapsed="false">
      <c r="A274" s="6" t="n">
        <v>37518</v>
      </c>
      <c r="B274" s="7" t="n">
        <v>0.508333333333333</v>
      </c>
      <c r="C274" s="8" t="n">
        <v>700000</v>
      </c>
      <c r="D274" s="9" t="n">
        <v>9.28</v>
      </c>
    </row>
    <row r="275" customFormat="false" ht="12.75" hidden="false" customHeight="false" outlineLevel="0" collapsed="false">
      <c r="A275" s="6" t="n">
        <v>37522</v>
      </c>
      <c r="B275" s="7" t="n">
        <v>0.425</v>
      </c>
      <c r="C275" s="8" t="n">
        <v>2500</v>
      </c>
      <c r="D275" s="9" t="n">
        <v>9.48</v>
      </c>
    </row>
    <row r="276" customFormat="false" ht="12.75" hidden="false" customHeight="false" outlineLevel="0" collapsed="false">
      <c r="A276" s="6" t="n">
        <v>37526</v>
      </c>
      <c r="B276" s="7" t="n">
        <v>0.454166666666667</v>
      </c>
      <c r="C276" s="8" t="n">
        <v>284000</v>
      </c>
      <c r="D276" s="9" t="n">
        <v>8.96</v>
      </c>
    </row>
    <row r="277" customFormat="false" ht="12.75" hidden="false" customHeight="false" outlineLevel="0" collapsed="false">
      <c r="A277" s="6" t="n">
        <v>37529</v>
      </c>
      <c r="B277" s="7" t="n">
        <v>0.438888888888889</v>
      </c>
      <c r="C277" s="8" t="n">
        <v>2297</v>
      </c>
      <c r="D277" s="9" t="n">
        <v>8.9</v>
      </c>
    </row>
    <row r="278" customFormat="false" ht="12.75" hidden="false" customHeight="false" outlineLevel="0" collapsed="false">
      <c r="A278" s="6" t="n">
        <v>37532</v>
      </c>
      <c r="B278" s="7" t="n">
        <v>0.532638888888889</v>
      </c>
      <c r="C278" s="9" t="n">
        <v>655</v>
      </c>
      <c r="D278" s="9" t="n">
        <v>9.15</v>
      </c>
    </row>
    <row r="279" customFormat="false" ht="12.75" hidden="false" customHeight="false" outlineLevel="0" collapsed="false">
      <c r="A279" s="6" t="n">
        <v>37533</v>
      </c>
      <c r="B279" s="7" t="n">
        <v>0.423611111111111</v>
      </c>
      <c r="C279" s="8" t="n">
        <v>70738</v>
      </c>
      <c r="D279" s="9" t="n">
        <v>8.9</v>
      </c>
    </row>
    <row r="280" customFormat="false" ht="12.75" hidden="false" customHeight="false" outlineLevel="0" collapsed="false">
      <c r="A280" s="6" t="n">
        <v>37533</v>
      </c>
      <c r="B280" s="7" t="n">
        <v>0.529166666666667</v>
      </c>
      <c r="C280" s="8" t="n">
        <v>31060</v>
      </c>
      <c r="D280" s="9" t="n">
        <v>9.15</v>
      </c>
    </row>
    <row r="281" customFormat="false" ht="12.75" hidden="false" customHeight="false" outlineLevel="0" collapsed="false">
      <c r="A281" s="6" t="n">
        <v>37539</v>
      </c>
      <c r="B281" s="7" t="n">
        <v>0.5125</v>
      </c>
      <c r="C281" s="8" t="n">
        <v>2254549</v>
      </c>
      <c r="D281" s="9" t="n">
        <v>8.98</v>
      </c>
    </row>
    <row r="282" customFormat="false" ht="12.75" hidden="false" customHeight="false" outlineLevel="0" collapsed="false">
      <c r="A282" s="6" t="n">
        <v>37539</v>
      </c>
      <c r="B282" s="7" t="n">
        <v>0.514583333333333</v>
      </c>
      <c r="C282" s="8" t="n">
        <v>331875</v>
      </c>
      <c r="D282" s="9" t="n">
        <v>8.9</v>
      </c>
    </row>
    <row r="283" customFormat="false" ht="12.75" hidden="false" customHeight="false" outlineLevel="0" collapsed="false">
      <c r="A283" s="6" t="n">
        <v>37539</v>
      </c>
      <c r="B283" s="7" t="n">
        <v>0.514583333333333</v>
      </c>
      <c r="C283" s="8" t="n">
        <v>11000</v>
      </c>
      <c r="D283" s="9" t="n">
        <v>8.9</v>
      </c>
    </row>
    <row r="284" customFormat="false" ht="12.75" hidden="false" customHeight="false" outlineLevel="0" collapsed="false">
      <c r="A284" s="6" t="n">
        <v>37539</v>
      </c>
      <c r="B284" s="7" t="n">
        <v>0.528472222222222</v>
      </c>
      <c r="C284" s="8" t="n">
        <v>855183</v>
      </c>
      <c r="D284" s="9" t="n">
        <v>9</v>
      </c>
    </row>
    <row r="285" customFormat="false" ht="12.75" hidden="false" customHeight="false" outlineLevel="0" collapsed="false">
      <c r="A285" s="6" t="n">
        <v>37540</v>
      </c>
      <c r="B285" s="7" t="n">
        <v>0.479861111111111</v>
      </c>
      <c r="C285" s="8" t="n">
        <v>1000000</v>
      </c>
      <c r="D285" s="9" t="n">
        <v>9</v>
      </c>
    </row>
    <row r="286" customFormat="false" ht="12.75" hidden="false" customHeight="false" outlineLevel="0" collapsed="false">
      <c r="A286" s="6" t="n">
        <v>37544</v>
      </c>
      <c r="B286" s="7" t="n">
        <v>0.461805555555556</v>
      </c>
      <c r="C286" s="8" t="n">
        <v>179254</v>
      </c>
      <c r="D286" s="9" t="n">
        <v>8.5</v>
      </c>
    </row>
    <row r="287" customFormat="false" ht="12.75" hidden="false" customHeight="false" outlineLevel="0" collapsed="false">
      <c r="A287" s="6" t="n">
        <v>37545</v>
      </c>
      <c r="B287" s="7" t="n">
        <v>0.498611111111111</v>
      </c>
      <c r="C287" s="8" t="n">
        <v>63660</v>
      </c>
      <c r="D287" s="9" t="n">
        <v>8.85</v>
      </c>
    </row>
    <row r="288" customFormat="false" ht="12.75" hidden="false" customHeight="false" outlineLevel="0" collapsed="false">
      <c r="A288" s="6" t="n">
        <v>37554</v>
      </c>
      <c r="B288" s="7" t="n">
        <v>0.434722222222222</v>
      </c>
      <c r="C288" s="8" t="n">
        <v>855183</v>
      </c>
      <c r="D288" s="9" t="n">
        <v>8.74</v>
      </c>
    </row>
    <row r="289" customFormat="false" ht="12.75" hidden="false" customHeight="false" outlineLevel="0" collapsed="false">
      <c r="A289" s="6" t="n">
        <v>37554</v>
      </c>
      <c r="B289" s="7" t="n">
        <v>0.504166666666667</v>
      </c>
      <c r="C289" s="8" t="n">
        <v>1000000</v>
      </c>
      <c r="D289" s="9" t="n">
        <v>8.5</v>
      </c>
    </row>
    <row r="290" customFormat="false" ht="12.75" hidden="false" customHeight="false" outlineLevel="0" collapsed="false">
      <c r="A290" s="6" t="n">
        <v>37554</v>
      </c>
      <c r="B290" s="7" t="n">
        <v>0.518055555555556</v>
      </c>
      <c r="C290" s="8" t="n">
        <v>1000000</v>
      </c>
      <c r="D290" s="9" t="n">
        <v>8.5</v>
      </c>
    </row>
    <row r="291" customFormat="false" ht="12.75" hidden="false" customHeight="false" outlineLevel="0" collapsed="false">
      <c r="A291" s="6" t="n">
        <v>37554</v>
      </c>
      <c r="B291" s="7" t="n">
        <v>0.521527777777778</v>
      </c>
      <c r="C291" s="8" t="n">
        <v>5000000</v>
      </c>
      <c r="D291" s="9" t="n">
        <v>8.5</v>
      </c>
    </row>
    <row r="292" customFormat="false" ht="12.75" hidden="false" customHeight="false" outlineLevel="0" collapsed="false">
      <c r="A292" s="6" t="n">
        <v>37554</v>
      </c>
      <c r="B292" s="7" t="n">
        <v>0.522916666666667</v>
      </c>
      <c r="C292" s="8" t="n">
        <v>5000000</v>
      </c>
      <c r="D292" s="9" t="n">
        <v>8.5</v>
      </c>
    </row>
    <row r="293" customFormat="false" ht="12.75" hidden="false" customHeight="false" outlineLevel="0" collapsed="false">
      <c r="A293" s="6" t="n">
        <v>37554</v>
      </c>
      <c r="B293" s="7" t="n">
        <v>0.527083333333333</v>
      </c>
      <c r="C293" s="8" t="n">
        <v>1500000</v>
      </c>
      <c r="D293" s="9" t="n">
        <v>8.5</v>
      </c>
    </row>
    <row r="294" customFormat="false" ht="12.75" hidden="false" customHeight="false" outlineLevel="0" collapsed="false">
      <c r="A294" s="6" t="n">
        <v>37554</v>
      </c>
      <c r="B294" s="7" t="n">
        <v>0.527777777777778</v>
      </c>
      <c r="C294" s="8" t="n">
        <v>235104</v>
      </c>
      <c r="D294" s="9" t="n">
        <v>8.5</v>
      </c>
    </row>
    <row r="295" customFormat="false" ht="12.75" hidden="false" customHeight="false" outlineLevel="0" collapsed="false">
      <c r="A295" s="6" t="n">
        <v>37559</v>
      </c>
      <c r="B295" s="7" t="n">
        <v>0.435416666666667</v>
      </c>
      <c r="C295" s="8" t="n">
        <v>121060</v>
      </c>
      <c r="D295" s="9" t="n">
        <v>8.33</v>
      </c>
    </row>
    <row r="296" customFormat="false" ht="12.75" hidden="false" customHeight="false" outlineLevel="0" collapsed="false">
      <c r="A296" s="6" t="n">
        <v>37560</v>
      </c>
      <c r="B296" s="7" t="n">
        <v>0.459722222222222</v>
      </c>
      <c r="C296" s="8" t="n">
        <v>1100</v>
      </c>
      <c r="D296" s="9" t="n">
        <v>8.5</v>
      </c>
    </row>
    <row r="297" customFormat="false" ht="12.75" hidden="false" customHeight="false" outlineLevel="0" collapsed="false">
      <c r="A297" s="6" t="n">
        <v>37560</v>
      </c>
      <c r="B297" s="7" t="n">
        <v>0.516666666666667</v>
      </c>
      <c r="C297" s="8" t="n">
        <v>174322</v>
      </c>
      <c r="D297" s="9" t="n">
        <v>8.36</v>
      </c>
    </row>
    <row r="298" customFormat="false" ht="12.75" hidden="false" customHeight="false" outlineLevel="0" collapsed="false">
      <c r="A298" s="6" t="n">
        <v>37564</v>
      </c>
      <c r="B298" s="7" t="n">
        <v>0.507638888888889</v>
      </c>
      <c r="C298" s="8" t="n">
        <v>2571</v>
      </c>
      <c r="D298" s="9" t="n">
        <v>8.4</v>
      </c>
    </row>
    <row r="299" customFormat="false" ht="12.75" hidden="false" customHeight="false" outlineLevel="0" collapsed="false">
      <c r="A299" s="6" t="n">
        <v>37564</v>
      </c>
      <c r="B299" s="7" t="n">
        <v>0.509027777777778</v>
      </c>
      <c r="C299" s="8" t="n">
        <v>280000</v>
      </c>
      <c r="D299" s="9" t="n">
        <v>8.41</v>
      </c>
    </row>
    <row r="300" customFormat="false" ht="12.75" hidden="false" customHeight="false" outlineLevel="0" collapsed="false">
      <c r="A300" s="6" t="n">
        <v>37565</v>
      </c>
      <c r="B300" s="7" t="n">
        <v>0.491666666666667</v>
      </c>
      <c r="C300" s="8" t="n">
        <v>46753</v>
      </c>
      <c r="D300" s="9" t="n">
        <v>8.35</v>
      </c>
    </row>
    <row r="301" customFormat="false" ht="12.75" hidden="false" customHeight="false" outlineLevel="0" collapsed="false">
      <c r="A301" s="6" t="n">
        <v>37567</v>
      </c>
      <c r="B301" s="7" t="n">
        <v>0.493055555555556</v>
      </c>
      <c r="C301" s="8" t="n">
        <v>45746</v>
      </c>
      <c r="D301" s="9" t="n">
        <v>8.75</v>
      </c>
    </row>
    <row r="302" customFormat="false" ht="12.75" hidden="false" customHeight="false" outlineLevel="0" collapsed="false">
      <c r="A302" s="6" t="n">
        <v>37567</v>
      </c>
      <c r="B302" s="7" t="n">
        <v>0.49375</v>
      </c>
      <c r="C302" s="8" t="n">
        <v>179254</v>
      </c>
      <c r="D302" s="9" t="n">
        <v>8.75</v>
      </c>
    </row>
    <row r="303" customFormat="false" ht="12.75" hidden="false" customHeight="false" outlineLevel="0" collapsed="false">
      <c r="A303" s="6" t="n">
        <v>37573</v>
      </c>
      <c r="B303" s="7" t="n">
        <v>0.431944444444444</v>
      </c>
      <c r="C303" s="8" t="n">
        <v>100000</v>
      </c>
      <c r="D303" s="9" t="n">
        <v>8.75</v>
      </c>
    </row>
    <row r="304" customFormat="false" ht="12.75" hidden="false" customHeight="false" outlineLevel="0" collapsed="false">
      <c r="A304" s="6" t="n">
        <v>37573</v>
      </c>
      <c r="B304" s="7" t="n">
        <v>0.459722222222222</v>
      </c>
      <c r="C304" s="8" t="n">
        <v>98000</v>
      </c>
      <c r="D304" s="9" t="n">
        <v>8.5</v>
      </c>
    </row>
    <row r="305" customFormat="false" ht="12.75" hidden="false" customHeight="false" outlineLevel="0" collapsed="false">
      <c r="A305" s="6" t="n">
        <v>37573</v>
      </c>
      <c r="B305" s="7" t="n">
        <v>0.467361111111111</v>
      </c>
      <c r="C305" s="8" t="n">
        <v>2000</v>
      </c>
      <c r="D305" s="9" t="n">
        <v>8.5</v>
      </c>
    </row>
    <row r="306" customFormat="false" ht="12.75" hidden="false" customHeight="false" outlineLevel="0" collapsed="false">
      <c r="A306" s="6" t="n">
        <v>37578</v>
      </c>
      <c r="B306" s="7" t="n">
        <v>0.44375</v>
      </c>
      <c r="C306" s="8" t="n">
        <v>392845</v>
      </c>
      <c r="D306" s="9" t="n">
        <v>8.69</v>
      </c>
    </row>
    <row r="307" customFormat="false" ht="12.75" hidden="false" customHeight="false" outlineLevel="0" collapsed="false">
      <c r="A307" s="6" t="n">
        <v>37585</v>
      </c>
      <c r="B307" s="7" t="n">
        <v>0.541666666666667</v>
      </c>
      <c r="C307" s="8" t="n">
        <v>3068515</v>
      </c>
      <c r="D307" s="9" t="n">
        <v>8.72</v>
      </c>
    </row>
    <row r="308" customFormat="false" ht="12.75" hidden="false" customHeight="false" outlineLevel="0" collapsed="false">
      <c r="A308" s="6" t="n">
        <v>37588</v>
      </c>
      <c r="B308" s="7" t="n">
        <v>0.420138888888889</v>
      </c>
      <c r="C308" s="8" t="n">
        <v>1125000</v>
      </c>
      <c r="D308" s="9" t="n">
        <v>8.75</v>
      </c>
    </row>
    <row r="309" customFormat="false" ht="12.75" hidden="false" customHeight="false" outlineLevel="0" collapsed="false">
      <c r="A309" s="6" t="n">
        <v>37588</v>
      </c>
      <c r="B309" s="7" t="n">
        <v>0.481944444444444</v>
      </c>
      <c r="C309" s="8" t="n">
        <v>30000</v>
      </c>
      <c r="D309" s="9" t="n">
        <v>8.75</v>
      </c>
    </row>
    <row r="310" customFormat="false" ht="12.75" hidden="false" customHeight="false" outlineLevel="0" collapsed="false">
      <c r="A310" s="6" t="n">
        <v>37588</v>
      </c>
      <c r="B310" s="7" t="n">
        <v>0.491666666666667</v>
      </c>
      <c r="C310" s="8" t="n">
        <v>516019</v>
      </c>
      <c r="D310" s="9" t="n">
        <v>8.75</v>
      </c>
    </row>
    <row r="311" customFormat="false" ht="12.75" hidden="false" customHeight="false" outlineLevel="0" collapsed="false">
      <c r="A311" s="6" t="n">
        <v>37589</v>
      </c>
      <c r="B311" s="7" t="n">
        <v>0.439583333333333</v>
      </c>
      <c r="C311" s="8" t="n">
        <v>95996</v>
      </c>
      <c r="D311" s="9" t="n">
        <v>8.64</v>
      </c>
    </row>
    <row r="312" customFormat="false" ht="12.75" hidden="false" customHeight="false" outlineLevel="0" collapsed="false">
      <c r="A312" s="6" t="n">
        <v>37592</v>
      </c>
      <c r="B312" s="7" t="n">
        <v>0.485416666666667</v>
      </c>
      <c r="C312" s="8" t="n">
        <v>69300</v>
      </c>
      <c r="D312" s="9" t="n">
        <v>8.68</v>
      </c>
    </row>
    <row r="313" customFormat="false" ht="12.75" hidden="false" customHeight="false" outlineLevel="0" collapsed="false">
      <c r="A313" s="6" t="n">
        <v>37594</v>
      </c>
      <c r="B313" s="7" t="n">
        <v>0.442361111111111</v>
      </c>
      <c r="C313" s="8" t="n">
        <v>101798</v>
      </c>
      <c r="D313" s="9" t="n">
        <v>8.75</v>
      </c>
    </row>
    <row r="314" customFormat="false" ht="12.75" hidden="false" customHeight="false" outlineLevel="0" collapsed="false">
      <c r="A314" s="6" t="n">
        <v>37594</v>
      </c>
      <c r="B314" s="7" t="n">
        <v>0.497222222222222</v>
      </c>
      <c r="C314" s="8" t="n">
        <v>606331</v>
      </c>
      <c r="D314" s="9" t="n">
        <v>8.7</v>
      </c>
    </row>
    <row r="315" customFormat="false" ht="12.75" hidden="false" customHeight="false" outlineLevel="0" collapsed="false">
      <c r="A315" s="6" t="n">
        <v>37602</v>
      </c>
      <c r="B315" s="7" t="n">
        <v>0.479861111111111</v>
      </c>
      <c r="C315" s="8" t="n">
        <v>235554</v>
      </c>
      <c r="D315" s="9" t="n">
        <v>8.96</v>
      </c>
    </row>
    <row r="316" customFormat="false" ht="12.75" hidden="false" customHeight="false" outlineLevel="0" collapsed="false">
      <c r="A316" s="6" t="n">
        <v>37602</v>
      </c>
      <c r="B316" s="7" t="n">
        <v>0.4875</v>
      </c>
      <c r="C316" s="8" t="n">
        <v>50000</v>
      </c>
      <c r="D316" s="9" t="n">
        <v>8.99</v>
      </c>
    </row>
    <row r="317" customFormat="false" ht="12.75" hidden="false" customHeight="false" outlineLevel="0" collapsed="false">
      <c r="A317" s="6" t="n">
        <v>37606</v>
      </c>
      <c r="B317" s="7" t="n">
        <v>0.474305555555556</v>
      </c>
      <c r="C317" s="8" t="n">
        <v>4300000</v>
      </c>
      <c r="D317" s="9" t="n">
        <v>9.1</v>
      </c>
    </row>
    <row r="318" customFormat="false" ht="12.75" hidden="false" customHeight="false" outlineLevel="0" collapsed="false">
      <c r="A318" s="6" t="n">
        <v>37607</v>
      </c>
      <c r="B318" s="7" t="n">
        <v>0.420833333333333</v>
      </c>
      <c r="C318" s="8" t="n">
        <v>500000</v>
      </c>
      <c r="D318" s="9" t="n">
        <v>9.05</v>
      </c>
    </row>
    <row r="319" customFormat="false" ht="12.75" hidden="false" customHeight="false" outlineLevel="0" collapsed="false">
      <c r="A319" s="6" t="n">
        <v>37607</v>
      </c>
      <c r="B319" s="7" t="n">
        <v>0.467361111111111</v>
      </c>
      <c r="C319" s="8" t="n">
        <v>250000</v>
      </c>
      <c r="D319" s="9" t="n">
        <v>9.1</v>
      </c>
    </row>
    <row r="320" customFormat="false" ht="12.75" hidden="false" customHeight="false" outlineLevel="0" collapsed="false">
      <c r="A320" s="6" t="n">
        <v>37607</v>
      </c>
      <c r="B320" s="7" t="n">
        <v>0.470138888888889</v>
      </c>
      <c r="C320" s="8" t="n">
        <v>388946</v>
      </c>
      <c r="D320" s="9" t="n">
        <v>9.06</v>
      </c>
    </row>
    <row r="321" customFormat="false" ht="12.75" hidden="false" customHeight="false" outlineLevel="0" collapsed="false">
      <c r="A321" s="6" t="n">
        <v>37609</v>
      </c>
      <c r="B321" s="7" t="n">
        <v>0.494444444444444</v>
      </c>
      <c r="C321" s="8" t="n">
        <v>1000000</v>
      </c>
      <c r="D321" s="9" t="n">
        <v>9.4</v>
      </c>
    </row>
    <row r="322" customFormat="false" ht="12.75" hidden="false" customHeight="false" outlineLevel="0" collapsed="false">
      <c r="A322" s="6" t="n">
        <v>37609</v>
      </c>
      <c r="B322" s="7" t="n">
        <v>0.496527777777778</v>
      </c>
      <c r="C322" s="8" t="n">
        <v>15000</v>
      </c>
      <c r="D322" s="9" t="n">
        <v>9.35</v>
      </c>
    </row>
    <row r="323" customFormat="false" ht="12.75" hidden="false" customHeight="false" outlineLevel="0" collapsed="false">
      <c r="A323" s="6" t="n">
        <v>37609</v>
      </c>
      <c r="B323" s="7" t="n">
        <v>0.539583333333333</v>
      </c>
      <c r="C323" s="8" t="n">
        <v>500000</v>
      </c>
      <c r="D323" s="9" t="n">
        <v>9.51</v>
      </c>
    </row>
    <row r="324" customFormat="false" ht="12.75" hidden="false" customHeight="false" outlineLevel="0" collapsed="false">
      <c r="A324" s="10" t="n">
        <v>37627</v>
      </c>
      <c r="B324" s="11" t="n">
        <v>0.525</v>
      </c>
      <c r="C324" s="12" t="n">
        <v>117891</v>
      </c>
      <c r="D324" s="13" t="n">
        <v>9.5</v>
      </c>
    </row>
    <row r="325" customFormat="false" ht="12.75" hidden="false" customHeight="false" outlineLevel="0" collapsed="false">
      <c r="A325" s="10" t="n">
        <v>37629</v>
      </c>
      <c r="B325" s="11" t="n">
        <v>0.436111111111111</v>
      </c>
      <c r="C325" s="12" t="n">
        <v>106000</v>
      </c>
      <c r="D325" s="13" t="n">
        <v>9.5</v>
      </c>
    </row>
    <row r="326" customFormat="false" ht="12.75" hidden="false" customHeight="false" outlineLevel="0" collapsed="false">
      <c r="A326" s="10" t="n">
        <v>37629</v>
      </c>
      <c r="B326" s="11" t="n">
        <v>0.445833333333333</v>
      </c>
      <c r="C326" s="12" t="n">
        <v>51000</v>
      </c>
      <c r="D326" s="13" t="n">
        <v>9.56</v>
      </c>
    </row>
    <row r="327" customFormat="false" ht="12.75" hidden="false" customHeight="false" outlineLevel="0" collapsed="false">
      <c r="A327" s="10" t="n">
        <v>37629</v>
      </c>
      <c r="B327" s="11" t="n">
        <v>0.534027777777778</v>
      </c>
      <c r="C327" s="12" t="n">
        <v>51000</v>
      </c>
      <c r="D327" s="13" t="n">
        <v>9.55</v>
      </c>
    </row>
    <row r="328" customFormat="false" ht="12.75" hidden="false" customHeight="false" outlineLevel="0" collapsed="false">
      <c r="A328" s="10" t="n">
        <v>37629</v>
      </c>
      <c r="B328" s="11" t="n">
        <v>0.534722222222222</v>
      </c>
      <c r="C328" s="12" t="n">
        <v>1021</v>
      </c>
      <c r="D328" s="13" t="n">
        <v>9.51</v>
      </c>
    </row>
    <row r="329" customFormat="false" ht="12.75" hidden="false" customHeight="false" outlineLevel="0" collapsed="false">
      <c r="A329" s="10" t="n">
        <v>37630</v>
      </c>
      <c r="B329" s="11" t="n">
        <v>0.421527777777778</v>
      </c>
      <c r="C329" s="12" t="n">
        <v>1500000</v>
      </c>
      <c r="D329" s="13" t="n">
        <v>9.75</v>
      </c>
    </row>
    <row r="330" customFormat="false" ht="12.75" hidden="false" customHeight="false" outlineLevel="0" collapsed="false">
      <c r="A330" s="10" t="n">
        <v>37630</v>
      </c>
      <c r="B330" s="11" t="n">
        <v>0.45</v>
      </c>
      <c r="C330" s="12" t="n">
        <v>51000</v>
      </c>
      <c r="D330" s="13" t="n">
        <v>9.75</v>
      </c>
    </row>
    <row r="331" customFormat="false" ht="12.75" hidden="false" customHeight="false" outlineLevel="0" collapsed="false">
      <c r="A331" s="10" t="n">
        <v>37631</v>
      </c>
      <c r="B331" s="11" t="n">
        <v>0.4875</v>
      </c>
      <c r="C331" s="12" t="n">
        <v>484238</v>
      </c>
      <c r="D331" s="13" t="n">
        <v>9.75</v>
      </c>
    </row>
    <row r="332" customFormat="false" ht="12.75" hidden="false" customHeight="false" outlineLevel="0" collapsed="false">
      <c r="A332" s="10" t="n">
        <v>37634</v>
      </c>
      <c r="B332" s="11" t="n">
        <v>0.472222222222222</v>
      </c>
      <c r="C332" s="12" t="n">
        <v>27328</v>
      </c>
      <c r="D332" s="13" t="n">
        <v>9.58</v>
      </c>
    </row>
    <row r="333" customFormat="false" ht="12.75" hidden="false" customHeight="false" outlineLevel="0" collapsed="false">
      <c r="A333" s="10" t="n">
        <v>37635</v>
      </c>
      <c r="B333" s="11" t="n">
        <v>0.522916666666667</v>
      </c>
      <c r="C333" s="12" t="n">
        <v>5000</v>
      </c>
      <c r="D333" s="13" t="n">
        <v>9.8</v>
      </c>
    </row>
    <row r="334" customFormat="false" ht="12.75" hidden="false" customHeight="false" outlineLevel="0" collapsed="false">
      <c r="A334" s="10" t="n">
        <v>37637</v>
      </c>
      <c r="B334" s="11" t="n">
        <v>0.447222222222222</v>
      </c>
      <c r="C334" s="12" t="n">
        <v>50000</v>
      </c>
      <c r="D334" s="13" t="n">
        <v>9.8</v>
      </c>
    </row>
    <row r="335" customFormat="false" ht="12.75" hidden="false" customHeight="false" outlineLevel="0" collapsed="false">
      <c r="A335" s="10" t="n">
        <v>37637</v>
      </c>
      <c r="B335" s="11" t="n">
        <v>0.502777777777778</v>
      </c>
      <c r="C335" s="12" t="n">
        <v>113585</v>
      </c>
      <c r="D335" s="13" t="n">
        <v>10.03</v>
      </c>
    </row>
    <row r="336" customFormat="false" ht="12.75" hidden="false" customHeight="false" outlineLevel="0" collapsed="false">
      <c r="A336" s="10" t="n">
        <v>37637</v>
      </c>
      <c r="B336" s="11" t="n">
        <v>0.502777777777778</v>
      </c>
      <c r="C336" s="12" t="n">
        <v>386415</v>
      </c>
      <c r="D336" s="13" t="n">
        <v>10.03</v>
      </c>
    </row>
    <row r="337" customFormat="false" ht="12.75" hidden="false" customHeight="false" outlineLevel="0" collapsed="false">
      <c r="A337" s="10" t="n">
        <v>37637</v>
      </c>
      <c r="B337" s="11" t="n">
        <v>0.504166666666667</v>
      </c>
      <c r="C337" s="12" t="n">
        <v>136415</v>
      </c>
      <c r="D337" s="13" t="n">
        <v>10.02</v>
      </c>
    </row>
    <row r="338" customFormat="false" ht="12.75" hidden="false" customHeight="false" outlineLevel="0" collapsed="false">
      <c r="A338" s="10" t="n">
        <v>37642</v>
      </c>
      <c r="B338" s="11" t="n">
        <v>0.434722222222222</v>
      </c>
      <c r="C338" s="12" t="n">
        <v>1175514</v>
      </c>
      <c r="D338" s="13" t="n">
        <v>10.01</v>
      </c>
    </row>
    <row r="339" customFormat="false" ht="12.75" hidden="false" customHeight="false" outlineLevel="0" collapsed="false">
      <c r="A339" s="10" t="n">
        <v>37643</v>
      </c>
      <c r="B339" s="11" t="n">
        <v>0.496527777777778</v>
      </c>
      <c r="C339" s="12" t="n">
        <v>4500000</v>
      </c>
      <c r="D339" s="13" t="n">
        <v>10.15</v>
      </c>
    </row>
    <row r="340" customFormat="false" ht="12.75" hidden="false" customHeight="false" outlineLevel="0" collapsed="false">
      <c r="A340" s="10" t="n">
        <v>37643</v>
      </c>
      <c r="B340" s="11" t="n">
        <v>0.496527777777778</v>
      </c>
      <c r="C340" s="12" t="n">
        <v>500000</v>
      </c>
      <c r="D340" s="13" t="n">
        <v>10.15</v>
      </c>
    </row>
    <row r="341" customFormat="false" ht="12.75" hidden="false" customHeight="false" outlineLevel="0" collapsed="false">
      <c r="A341" s="10" t="n">
        <v>37643</v>
      </c>
      <c r="B341" s="11" t="n">
        <v>0.497916666666667</v>
      </c>
      <c r="C341" s="12" t="n">
        <v>500000</v>
      </c>
      <c r="D341" s="13" t="n">
        <v>10.15</v>
      </c>
    </row>
    <row r="342" customFormat="false" ht="12.75" hidden="false" customHeight="false" outlineLevel="0" collapsed="false">
      <c r="A342" s="10" t="n">
        <v>37643</v>
      </c>
      <c r="B342" s="11" t="n">
        <v>0.508333333333333</v>
      </c>
      <c r="C342" s="12" t="n">
        <v>1000000</v>
      </c>
      <c r="D342" s="13" t="n">
        <v>10.27</v>
      </c>
    </row>
    <row r="343" customFormat="false" ht="12.75" hidden="false" customHeight="false" outlineLevel="0" collapsed="false">
      <c r="A343" s="10" t="n">
        <v>37643</v>
      </c>
      <c r="B343" s="11" t="n">
        <v>0.518055555555556</v>
      </c>
      <c r="C343" s="12" t="n">
        <v>500000</v>
      </c>
      <c r="D343" s="13" t="n">
        <v>10.28</v>
      </c>
    </row>
    <row r="344" customFormat="false" ht="12.75" hidden="false" customHeight="false" outlineLevel="0" collapsed="false">
      <c r="A344" s="10" t="n">
        <v>37645</v>
      </c>
      <c r="B344" s="11" t="n">
        <v>0.529861111111111</v>
      </c>
      <c r="C344" s="12" t="n">
        <v>51000</v>
      </c>
      <c r="D344" s="13" t="n">
        <v>10.28</v>
      </c>
    </row>
    <row r="345" customFormat="false" ht="12.75" hidden="false" customHeight="false" outlineLevel="0" collapsed="false">
      <c r="A345" s="10" t="n">
        <v>37645</v>
      </c>
      <c r="B345" s="11" t="n">
        <v>0.529861111111111</v>
      </c>
      <c r="C345" s="12" t="n">
        <v>179736</v>
      </c>
      <c r="D345" s="13" t="n">
        <v>10.28</v>
      </c>
    </row>
    <row r="346" customFormat="false" ht="12.75" hidden="false" customHeight="false" outlineLevel="0" collapsed="false">
      <c r="A346" s="10" t="n">
        <v>37645</v>
      </c>
      <c r="B346" s="11" t="n">
        <v>0.529861111111111</v>
      </c>
      <c r="C346" s="12" t="n">
        <v>50000</v>
      </c>
      <c r="D346" s="13" t="n">
        <v>10.28</v>
      </c>
    </row>
    <row r="347" customFormat="false" ht="12.75" hidden="false" customHeight="false" outlineLevel="0" collapsed="false">
      <c r="A347" s="10" t="n">
        <v>37650</v>
      </c>
      <c r="B347" s="11" t="n">
        <v>0.518055555555556</v>
      </c>
      <c r="C347" s="12" t="n">
        <v>12500</v>
      </c>
      <c r="D347" s="13" t="n">
        <v>10.4</v>
      </c>
    </row>
    <row r="348" customFormat="false" ht="12.75" hidden="false" customHeight="false" outlineLevel="0" collapsed="false">
      <c r="A348" s="10" t="n">
        <v>37652</v>
      </c>
      <c r="B348" s="11" t="n">
        <v>0.51875</v>
      </c>
      <c r="C348" s="12" t="n">
        <v>50000</v>
      </c>
      <c r="D348" s="13" t="n">
        <v>10.61</v>
      </c>
    </row>
    <row r="349" customFormat="false" ht="12.75" hidden="false" customHeight="false" outlineLevel="0" collapsed="false">
      <c r="A349" s="10" t="n">
        <v>37652</v>
      </c>
      <c r="B349" s="11" t="n">
        <v>0.51875</v>
      </c>
      <c r="C349" s="12" t="n">
        <v>2000000</v>
      </c>
      <c r="D349" s="13" t="n">
        <v>10.61</v>
      </c>
    </row>
    <row r="350" customFormat="false" ht="12.75" hidden="false" customHeight="false" outlineLevel="0" collapsed="false">
      <c r="A350" s="10" t="n">
        <v>37652</v>
      </c>
      <c r="B350" s="11" t="n">
        <v>0.534722222222222</v>
      </c>
      <c r="C350" s="12" t="n">
        <v>1000000</v>
      </c>
      <c r="D350" s="13" t="n">
        <v>10.61</v>
      </c>
    </row>
    <row r="351" customFormat="false" ht="12.75" hidden="false" customHeight="false" outlineLevel="0" collapsed="false">
      <c r="A351" s="10" t="n">
        <v>37655</v>
      </c>
      <c r="B351" s="11" t="n">
        <v>0.497222222222222</v>
      </c>
      <c r="C351" s="12" t="n">
        <v>1000000</v>
      </c>
      <c r="D351" s="13" t="n">
        <v>10.75</v>
      </c>
    </row>
    <row r="352" customFormat="false" ht="12.75" hidden="false" customHeight="false" outlineLevel="0" collapsed="false">
      <c r="A352" s="10" t="n">
        <v>37657</v>
      </c>
      <c r="B352" s="11" t="n">
        <v>0.5125</v>
      </c>
      <c r="C352" s="12" t="n">
        <v>1300337</v>
      </c>
      <c r="D352" s="13" t="n">
        <v>10.75</v>
      </c>
    </row>
    <row r="353" customFormat="false" ht="12.75" hidden="false" customHeight="false" outlineLevel="0" collapsed="false">
      <c r="A353" s="10" t="n">
        <v>37662</v>
      </c>
      <c r="B353" s="11" t="n">
        <v>0.527777777777778</v>
      </c>
      <c r="C353" s="12" t="n">
        <v>463749</v>
      </c>
      <c r="D353" s="13" t="n">
        <v>10.7</v>
      </c>
    </row>
    <row r="354" customFormat="false" ht="12.75" hidden="false" customHeight="false" outlineLevel="0" collapsed="false">
      <c r="A354" s="10" t="n">
        <v>37662</v>
      </c>
      <c r="B354" s="11" t="n">
        <v>0.533333333333333</v>
      </c>
      <c r="C354" s="12" t="n">
        <v>1576272</v>
      </c>
      <c r="D354" s="13" t="n">
        <v>10.5</v>
      </c>
    </row>
    <row r="355" customFormat="false" ht="12.75" hidden="false" customHeight="false" outlineLevel="0" collapsed="false">
      <c r="A355" s="10" t="n">
        <v>37665</v>
      </c>
      <c r="B355" s="11" t="n">
        <v>0.485416666666667</v>
      </c>
      <c r="C355" s="12" t="n">
        <v>886427</v>
      </c>
      <c r="D355" s="13" t="n">
        <v>10.5</v>
      </c>
    </row>
    <row r="356" customFormat="false" ht="12.75" hidden="false" customHeight="false" outlineLevel="0" collapsed="false">
      <c r="A356" s="10" t="n">
        <v>37671</v>
      </c>
      <c r="B356" s="11" t="n">
        <v>0.514583333333333</v>
      </c>
      <c r="C356" s="12" t="n">
        <v>225000</v>
      </c>
      <c r="D356" s="13" t="n">
        <v>10.5</v>
      </c>
    </row>
    <row r="357" customFormat="false" ht="12.75" hidden="false" customHeight="false" outlineLevel="0" collapsed="false">
      <c r="A357" s="10" t="n">
        <v>37673</v>
      </c>
      <c r="B357" s="11" t="n">
        <v>0.417361111111111</v>
      </c>
      <c r="C357" s="12" t="n">
        <v>592845</v>
      </c>
      <c r="D357" s="13" t="n">
        <v>10.5</v>
      </c>
    </row>
    <row r="358" customFormat="false" ht="12.75" hidden="false" customHeight="false" outlineLevel="0" collapsed="false">
      <c r="A358" s="10" t="n">
        <v>37673</v>
      </c>
      <c r="B358" s="11" t="n">
        <v>0.524305555555556</v>
      </c>
      <c r="C358" s="12" t="n">
        <v>500000</v>
      </c>
      <c r="D358" s="13" t="n">
        <v>10.7</v>
      </c>
    </row>
    <row r="359" customFormat="false" ht="12.75" hidden="false" customHeight="false" outlineLevel="0" collapsed="false">
      <c r="A359" s="10" t="n">
        <v>37677</v>
      </c>
      <c r="B359" s="11" t="n">
        <v>0.541666666666667</v>
      </c>
      <c r="C359" s="12" t="n">
        <v>87204</v>
      </c>
      <c r="D359" s="13" t="n">
        <v>10.5</v>
      </c>
    </row>
    <row r="360" customFormat="false" ht="12.75" hidden="false" customHeight="false" outlineLevel="0" collapsed="false">
      <c r="A360" s="10" t="n">
        <v>37677</v>
      </c>
      <c r="B360" s="11" t="n">
        <v>0.541666666666667</v>
      </c>
      <c r="C360" s="12" t="n">
        <v>40000</v>
      </c>
      <c r="D360" s="13" t="n">
        <v>10.5</v>
      </c>
    </row>
    <row r="361" customFormat="false" ht="12.75" hidden="false" customHeight="false" outlineLevel="0" collapsed="false">
      <c r="A361" s="10" t="n">
        <v>37678</v>
      </c>
      <c r="B361" s="11" t="n">
        <v>0.426388888888889</v>
      </c>
      <c r="C361" s="12" t="n">
        <v>1000000</v>
      </c>
      <c r="D361" s="13" t="n">
        <v>10.5</v>
      </c>
    </row>
    <row r="362" customFormat="false" ht="12.75" hidden="false" customHeight="false" outlineLevel="0" collapsed="false">
      <c r="A362" s="10" t="n">
        <v>37678</v>
      </c>
      <c r="B362" s="11" t="n">
        <v>0.438194444444444</v>
      </c>
      <c r="C362" s="12" t="n">
        <v>40000</v>
      </c>
      <c r="D362" s="13" t="n">
        <v>10.5</v>
      </c>
    </row>
    <row r="363" customFormat="false" ht="12.75" hidden="false" customHeight="false" outlineLevel="0" collapsed="false">
      <c r="A363" s="10" t="n">
        <v>37678</v>
      </c>
      <c r="B363" s="11" t="n">
        <v>0.440277777777778</v>
      </c>
      <c r="C363" s="12" t="n">
        <v>2000000</v>
      </c>
      <c r="D363" s="13" t="n">
        <v>10.5</v>
      </c>
    </row>
    <row r="364" customFormat="false" ht="12.75" hidden="false" customHeight="false" outlineLevel="0" collapsed="false">
      <c r="A364" s="10" t="n">
        <v>37683</v>
      </c>
      <c r="B364" s="11" t="n">
        <v>0.461111111111111</v>
      </c>
      <c r="C364" s="12" t="n">
        <v>46000</v>
      </c>
      <c r="D364" s="13" t="n">
        <v>10.7</v>
      </c>
    </row>
    <row r="365" customFormat="false" ht="12.75" hidden="false" customHeight="false" outlineLevel="0" collapsed="false">
      <c r="A365" s="10" t="n">
        <v>37686</v>
      </c>
      <c r="B365" s="11" t="n">
        <v>0.509722222222222</v>
      </c>
      <c r="C365" s="12" t="n">
        <v>40000</v>
      </c>
      <c r="D365" s="13" t="n">
        <v>10.7</v>
      </c>
    </row>
    <row r="366" customFormat="false" ht="12.75" hidden="false" customHeight="false" outlineLevel="0" collapsed="false">
      <c r="A366" s="10" t="n">
        <v>37690</v>
      </c>
      <c r="B366" s="11" t="n">
        <v>0.490972222222222</v>
      </c>
      <c r="C366" s="12" t="n">
        <v>1000000</v>
      </c>
      <c r="D366" s="13" t="n">
        <v>10.45</v>
      </c>
    </row>
    <row r="367" customFormat="false" ht="12.75" hidden="false" customHeight="false" outlineLevel="0" collapsed="false">
      <c r="A367" s="10" t="n">
        <v>37690</v>
      </c>
      <c r="B367" s="11" t="n">
        <v>0.494444444444444</v>
      </c>
      <c r="C367" s="12" t="n">
        <v>250000</v>
      </c>
      <c r="D367" s="13" t="n">
        <v>10.45</v>
      </c>
    </row>
    <row r="368" customFormat="false" ht="12.75" hidden="false" customHeight="false" outlineLevel="0" collapsed="false">
      <c r="A368" s="10" t="n">
        <v>37690</v>
      </c>
      <c r="B368" s="11" t="n">
        <v>0.494444444444444</v>
      </c>
      <c r="C368" s="12" t="n">
        <v>2750000</v>
      </c>
      <c r="D368" s="13" t="n">
        <v>10.45</v>
      </c>
    </row>
    <row r="369" customFormat="false" ht="12.75" hidden="false" customHeight="false" outlineLevel="0" collapsed="false">
      <c r="A369" s="10" t="n">
        <v>37690</v>
      </c>
      <c r="B369" s="11" t="n">
        <v>0.494444444444444</v>
      </c>
      <c r="C369" s="12" t="n">
        <v>2000000</v>
      </c>
      <c r="D369" s="13" t="n">
        <v>10.45</v>
      </c>
    </row>
    <row r="370" customFormat="false" ht="12.75" hidden="false" customHeight="false" outlineLevel="0" collapsed="false">
      <c r="A370" s="10" t="n">
        <v>37690</v>
      </c>
      <c r="B370" s="11" t="n">
        <v>0.496527777777778</v>
      </c>
      <c r="C370" s="12" t="n">
        <v>2250000</v>
      </c>
      <c r="D370" s="13" t="n">
        <v>10.45</v>
      </c>
    </row>
    <row r="371" customFormat="false" ht="12.75" hidden="false" customHeight="false" outlineLevel="0" collapsed="false">
      <c r="A371" s="10" t="n">
        <v>37690</v>
      </c>
      <c r="B371" s="11" t="n">
        <v>0.500694444444444</v>
      </c>
      <c r="C371" s="12" t="n">
        <v>996596</v>
      </c>
      <c r="D371" s="13" t="n">
        <v>10.45</v>
      </c>
    </row>
    <row r="372" customFormat="false" ht="12.75" hidden="false" customHeight="false" outlineLevel="0" collapsed="false">
      <c r="A372" s="10" t="n">
        <v>37690</v>
      </c>
      <c r="B372" s="11" t="n">
        <v>0.500694444444444</v>
      </c>
      <c r="C372" s="12" t="n">
        <v>6750000</v>
      </c>
      <c r="D372" s="13" t="n">
        <v>10.45</v>
      </c>
    </row>
    <row r="373" customFormat="false" ht="12.75" hidden="false" customHeight="false" outlineLevel="0" collapsed="false">
      <c r="A373" s="10" t="n">
        <v>37690</v>
      </c>
      <c r="B373" s="11" t="n">
        <v>0.505555555555556</v>
      </c>
      <c r="C373" s="12" t="n">
        <v>2250000</v>
      </c>
      <c r="D373" s="13" t="n">
        <v>10.45</v>
      </c>
    </row>
    <row r="374" customFormat="false" ht="12.75" hidden="false" customHeight="false" outlineLevel="0" collapsed="false">
      <c r="A374" s="10" t="n">
        <v>37690</v>
      </c>
      <c r="B374" s="11" t="n">
        <v>0.515277777777778</v>
      </c>
      <c r="C374" s="12" t="n">
        <v>1500000</v>
      </c>
      <c r="D374" s="13" t="n">
        <v>10.45</v>
      </c>
    </row>
    <row r="375" customFormat="false" ht="12.75" hidden="false" customHeight="false" outlineLevel="0" collapsed="false">
      <c r="A375" s="10" t="n">
        <v>37699</v>
      </c>
      <c r="B375" s="11" t="n">
        <v>0.495833333333333</v>
      </c>
      <c r="C375" s="12" t="n">
        <v>50000</v>
      </c>
      <c r="D375" s="13" t="n">
        <v>9.98</v>
      </c>
    </row>
    <row r="376" customFormat="false" ht="12.75" hidden="false" customHeight="false" outlineLevel="0" collapsed="false">
      <c r="A376" s="10" t="n">
        <v>37705</v>
      </c>
      <c r="B376" s="11" t="n">
        <v>0.422222222222222</v>
      </c>
      <c r="C376" s="12" t="n">
        <v>4361841</v>
      </c>
      <c r="D376" s="13" t="n">
        <v>10</v>
      </c>
    </row>
    <row r="377" customFormat="false" ht="12.75" hidden="false" customHeight="false" outlineLevel="0" collapsed="false">
      <c r="A377" s="10" t="n">
        <v>37705</v>
      </c>
      <c r="B377" s="11" t="n">
        <v>0.459027777777778</v>
      </c>
      <c r="C377" s="12" t="n">
        <v>48425</v>
      </c>
      <c r="D377" s="13" t="n">
        <v>10</v>
      </c>
    </row>
    <row r="378" customFormat="false" ht="12.75" hidden="false" customHeight="false" outlineLevel="0" collapsed="false">
      <c r="A378" s="10" t="n">
        <v>37705</v>
      </c>
      <c r="B378" s="11" t="n">
        <v>0.459027777777778</v>
      </c>
      <c r="C378" s="12" t="n">
        <v>1728706</v>
      </c>
      <c r="D378" s="13" t="n">
        <v>10</v>
      </c>
    </row>
    <row r="379" customFormat="false" ht="12.75" hidden="false" customHeight="false" outlineLevel="0" collapsed="false">
      <c r="A379" s="10" t="n">
        <v>37707</v>
      </c>
      <c r="B379" s="11" t="n">
        <v>0.478472222222222</v>
      </c>
      <c r="C379" s="12" t="n">
        <v>561910</v>
      </c>
      <c r="D379" s="13" t="n">
        <v>10</v>
      </c>
    </row>
    <row r="380" customFormat="false" ht="12.75" hidden="false" customHeight="false" outlineLevel="0" collapsed="false">
      <c r="A380" s="10" t="n">
        <v>37734</v>
      </c>
      <c r="B380" s="11" t="n">
        <v>0.420138888888889</v>
      </c>
      <c r="C380" s="12" t="n">
        <v>345020</v>
      </c>
      <c r="D380" s="13" t="n">
        <v>9.19</v>
      </c>
    </row>
    <row r="381" customFormat="false" ht="12.75" hidden="false" customHeight="false" outlineLevel="0" collapsed="false">
      <c r="A381" s="10" t="n">
        <v>37740</v>
      </c>
      <c r="B381" s="11" t="n">
        <v>0.483333333333333</v>
      </c>
      <c r="C381" s="12" t="n">
        <v>33878</v>
      </c>
      <c r="D381" s="13" t="n">
        <v>9.1</v>
      </c>
    </row>
    <row r="382" customFormat="false" ht="12.75" hidden="false" customHeight="false" outlineLevel="0" collapsed="false">
      <c r="A382" s="10" t="n">
        <v>37740</v>
      </c>
      <c r="B382" s="11" t="n">
        <v>0.483333333333333</v>
      </c>
      <c r="C382" s="12" t="n">
        <v>50000</v>
      </c>
      <c r="D382" s="13" t="n">
        <v>9.1</v>
      </c>
    </row>
    <row r="383" customFormat="false" ht="12.75" hidden="false" customHeight="false" outlineLevel="0" collapsed="false">
      <c r="A383" s="10" t="n">
        <v>37740</v>
      </c>
      <c r="B383" s="11" t="n">
        <v>0.483333333333333</v>
      </c>
      <c r="C383" s="12" t="n">
        <v>78042</v>
      </c>
      <c r="D383" s="13" t="n">
        <v>9.1</v>
      </c>
    </row>
    <row r="384" customFormat="false" ht="12.75" hidden="false" customHeight="false" outlineLevel="0" collapsed="false">
      <c r="A384" s="10" t="n">
        <v>37741</v>
      </c>
      <c r="B384" s="11" t="n">
        <v>0.469444444444444</v>
      </c>
      <c r="C384" s="12" t="n">
        <v>250000</v>
      </c>
      <c r="D384" s="13" t="n">
        <v>9.15</v>
      </c>
    </row>
    <row r="385" customFormat="false" ht="12.75" hidden="false" customHeight="false" outlineLevel="0" collapsed="false">
      <c r="A385" s="10" t="n">
        <v>37741</v>
      </c>
      <c r="B385" s="11" t="n">
        <v>0.51875</v>
      </c>
      <c r="C385" s="12" t="n">
        <v>250000</v>
      </c>
      <c r="D385" s="13" t="n">
        <v>9.15</v>
      </c>
    </row>
    <row r="386" customFormat="false" ht="12.75" hidden="false" customHeight="false" outlineLevel="0" collapsed="false">
      <c r="A386" s="10" t="n">
        <v>37743</v>
      </c>
      <c r="B386" s="11" t="n">
        <v>0.539583333333333</v>
      </c>
      <c r="C386" s="12" t="n">
        <v>300000</v>
      </c>
      <c r="D386" s="13" t="n">
        <v>9.15</v>
      </c>
    </row>
    <row r="387" customFormat="false" ht="12.75" hidden="false" customHeight="false" outlineLevel="0" collapsed="false">
      <c r="A387" s="10" t="n">
        <v>37747</v>
      </c>
      <c r="B387" s="11" t="n">
        <v>0.534027777777778</v>
      </c>
      <c r="C387" s="12" t="n">
        <v>140341</v>
      </c>
      <c r="D387" s="13" t="n">
        <v>9.07</v>
      </c>
    </row>
    <row r="388" customFormat="false" ht="12.75" hidden="false" customHeight="false" outlineLevel="0" collapsed="false">
      <c r="A388" s="10" t="n">
        <v>37748</v>
      </c>
      <c r="B388" s="11" t="n">
        <v>0.475694444444444</v>
      </c>
      <c r="C388" s="12" t="n">
        <v>140341</v>
      </c>
      <c r="D388" s="13" t="n">
        <v>9.03</v>
      </c>
    </row>
    <row r="389" customFormat="false" ht="12.75" hidden="false" customHeight="false" outlineLevel="0" collapsed="false">
      <c r="A389" s="10" t="n">
        <v>37748</v>
      </c>
      <c r="B389" s="11" t="n">
        <v>0.478472222222222</v>
      </c>
      <c r="C389" s="12" t="n">
        <v>59659</v>
      </c>
      <c r="D389" s="13" t="n">
        <v>9.04</v>
      </c>
    </row>
    <row r="390" customFormat="false" ht="12.75" hidden="false" customHeight="false" outlineLevel="0" collapsed="false">
      <c r="A390" s="10" t="n">
        <v>37748</v>
      </c>
      <c r="B390" s="11" t="n">
        <v>0.5125</v>
      </c>
      <c r="C390" s="12" t="n">
        <v>140341</v>
      </c>
      <c r="D390" s="13" t="n">
        <v>9.05</v>
      </c>
    </row>
    <row r="391" customFormat="false" ht="12.75" hidden="false" customHeight="false" outlineLevel="0" collapsed="false">
      <c r="A391" s="10" t="n">
        <v>37748</v>
      </c>
      <c r="B391" s="11" t="n">
        <v>0.524305555555556</v>
      </c>
      <c r="C391" s="12" t="n">
        <v>200000</v>
      </c>
      <c r="D391" s="13" t="n">
        <v>9.05</v>
      </c>
    </row>
    <row r="392" customFormat="false" ht="12.75" hidden="false" customHeight="false" outlineLevel="0" collapsed="false">
      <c r="A392" s="10" t="n">
        <v>37748</v>
      </c>
      <c r="B392" s="11" t="n">
        <v>0.540277777777778</v>
      </c>
      <c r="C392" s="12" t="n">
        <v>200000</v>
      </c>
      <c r="D392" s="13" t="n">
        <v>8.93</v>
      </c>
    </row>
    <row r="393" customFormat="false" ht="12.75" hidden="false" customHeight="false" outlineLevel="0" collapsed="false">
      <c r="A393" s="10" t="n">
        <v>37749</v>
      </c>
      <c r="B393" s="11" t="n">
        <v>0.464583333333333</v>
      </c>
      <c r="C393" s="12" t="n">
        <v>200000</v>
      </c>
      <c r="D393" s="13" t="n">
        <v>8.93</v>
      </c>
    </row>
    <row r="394" customFormat="false" ht="12.75" hidden="false" customHeight="false" outlineLevel="0" collapsed="false">
      <c r="A394" s="10" t="n">
        <v>37749</v>
      </c>
      <c r="B394" s="11" t="n">
        <v>0.464583333333333</v>
      </c>
      <c r="C394" s="12" t="n">
        <v>245955</v>
      </c>
      <c r="D394" s="13" t="n">
        <v>8.93</v>
      </c>
    </row>
    <row r="395" customFormat="false" ht="12.75" hidden="false" customHeight="false" outlineLevel="0" collapsed="false">
      <c r="A395" s="10" t="n">
        <v>37749</v>
      </c>
      <c r="B395" s="11" t="n">
        <v>0.5125</v>
      </c>
      <c r="C395" s="12" t="n">
        <v>175148</v>
      </c>
      <c r="D395" s="13" t="n">
        <v>8.93</v>
      </c>
    </row>
    <row r="396" customFormat="false" ht="12.75" hidden="false" customHeight="false" outlineLevel="0" collapsed="false">
      <c r="A396" s="10" t="n">
        <v>37749</v>
      </c>
      <c r="B396" s="11" t="n">
        <v>0.521527777777778</v>
      </c>
      <c r="C396" s="12" t="n">
        <v>23870</v>
      </c>
      <c r="D396" s="13" t="n">
        <v>8.93</v>
      </c>
    </row>
    <row r="397" customFormat="false" ht="12.75" hidden="false" customHeight="false" outlineLevel="0" collapsed="false">
      <c r="A397" s="10" t="n">
        <v>37749</v>
      </c>
      <c r="B397" s="11" t="n">
        <v>0.534027777777778</v>
      </c>
      <c r="C397" s="12" t="n">
        <v>126130</v>
      </c>
      <c r="D397" s="13" t="n">
        <v>8.8</v>
      </c>
    </row>
    <row r="398" customFormat="false" ht="12.75" hidden="false" customHeight="false" outlineLevel="0" collapsed="false">
      <c r="A398" s="10" t="n">
        <v>37754</v>
      </c>
      <c r="B398" s="11" t="n">
        <v>0.486805555555556</v>
      </c>
      <c r="C398" s="12" t="n">
        <v>129200</v>
      </c>
      <c r="D398" s="13" t="n">
        <v>8.8</v>
      </c>
    </row>
    <row r="399" customFormat="false" ht="12.75" hidden="false" customHeight="false" outlineLevel="0" collapsed="false">
      <c r="A399" s="10" t="n">
        <v>37754</v>
      </c>
      <c r="B399" s="11" t="n">
        <v>0.493055555555556</v>
      </c>
      <c r="C399" s="12" t="n">
        <v>4274302</v>
      </c>
      <c r="D399" s="13" t="n">
        <v>8.8</v>
      </c>
    </row>
    <row r="400" customFormat="false" ht="12.75" hidden="false" customHeight="false" outlineLevel="0" collapsed="false">
      <c r="A400" s="10" t="n">
        <v>37754</v>
      </c>
      <c r="B400" s="11" t="n">
        <v>0.493055555555556</v>
      </c>
      <c r="C400" s="12" t="n">
        <v>253065</v>
      </c>
      <c r="D400" s="13" t="n">
        <v>8.8</v>
      </c>
    </row>
    <row r="401" customFormat="false" ht="12.75" hidden="false" customHeight="false" outlineLevel="0" collapsed="false">
      <c r="A401" s="10" t="n">
        <v>37754</v>
      </c>
      <c r="B401" s="11" t="n">
        <v>0.493055555555556</v>
      </c>
      <c r="C401" s="12" t="n">
        <v>282503</v>
      </c>
      <c r="D401" s="13" t="n">
        <v>8.8</v>
      </c>
    </row>
    <row r="402" customFormat="false" ht="12.75" hidden="false" customHeight="false" outlineLevel="0" collapsed="false">
      <c r="A402" s="10" t="n">
        <v>37754</v>
      </c>
      <c r="B402" s="11" t="n">
        <v>0.509722222222222</v>
      </c>
      <c r="C402" s="12" t="n">
        <v>64776</v>
      </c>
      <c r="D402" s="13" t="n">
        <v>8.8</v>
      </c>
    </row>
    <row r="403" customFormat="false" ht="12.75" hidden="false" customHeight="false" outlineLevel="0" collapsed="false">
      <c r="A403" s="10" t="n">
        <v>37754</v>
      </c>
      <c r="B403" s="11" t="n">
        <v>0.528472222222222</v>
      </c>
      <c r="C403" s="12" t="n">
        <v>1000000</v>
      </c>
      <c r="D403" s="13" t="n">
        <v>8.8</v>
      </c>
    </row>
    <row r="404" customFormat="false" ht="12.75" hidden="false" customHeight="false" outlineLevel="0" collapsed="false">
      <c r="A404" s="10" t="n">
        <v>37754</v>
      </c>
      <c r="B404" s="11" t="n">
        <v>0.529166666666667</v>
      </c>
      <c r="C404" s="12" t="n">
        <v>500000</v>
      </c>
      <c r="D404" s="13" t="n">
        <v>8.8</v>
      </c>
    </row>
    <row r="405" customFormat="false" ht="12.75" hidden="false" customHeight="false" outlineLevel="0" collapsed="false">
      <c r="A405" s="10" t="n">
        <v>37755</v>
      </c>
      <c r="B405" s="11" t="n">
        <v>0.540277777777778</v>
      </c>
      <c r="C405" s="12" t="n">
        <v>20000</v>
      </c>
      <c r="D405" s="13" t="n">
        <v>8.65</v>
      </c>
    </row>
    <row r="406" customFormat="false" ht="12.75" hidden="false" customHeight="false" outlineLevel="0" collapsed="false">
      <c r="A406" s="10" t="n">
        <v>37757</v>
      </c>
      <c r="B406" s="11" t="n">
        <v>0.50625</v>
      </c>
      <c r="C406" s="12" t="n">
        <v>300000</v>
      </c>
      <c r="D406" s="13" t="n">
        <v>8.63</v>
      </c>
    </row>
    <row r="407" customFormat="false" ht="12.75" hidden="false" customHeight="false" outlineLevel="0" collapsed="false">
      <c r="A407" s="10" t="n">
        <v>37757</v>
      </c>
      <c r="B407" s="11" t="n">
        <v>0.50625</v>
      </c>
      <c r="C407" s="12" t="n">
        <v>500000</v>
      </c>
      <c r="D407" s="13" t="n">
        <v>8.63</v>
      </c>
    </row>
    <row r="408" customFormat="false" ht="12.75" hidden="false" customHeight="false" outlineLevel="0" collapsed="false">
      <c r="A408" s="10" t="n">
        <v>37761</v>
      </c>
      <c r="B408" s="11" t="n">
        <v>0.541666666666667</v>
      </c>
      <c r="C408" s="12" t="n">
        <v>200000</v>
      </c>
      <c r="D408" s="13" t="n">
        <v>8.54</v>
      </c>
    </row>
    <row r="409" customFormat="false" ht="12.75" hidden="false" customHeight="false" outlineLevel="0" collapsed="false">
      <c r="A409" s="10" t="n">
        <v>37762</v>
      </c>
      <c r="B409" s="11" t="n">
        <v>0.444444444444444</v>
      </c>
      <c r="C409" s="12" t="n">
        <v>406049</v>
      </c>
      <c r="D409" s="13" t="n">
        <v>8.49</v>
      </c>
    </row>
    <row r="410" customFormat="false" ht="12.75" hidden="false" customHeight="false" outlineLevel="0" collapsed="false">
      <c r="A410" s="10" t="n">
        <v>37762</v>
      </c>
      <c r="B410" s="11" t="n">
        <v>0.470138888888889</v>
      </c>
      <c r="C410" s="12" t="n">
        <v>10000</v>
      </c>
      <c r="D410" s="13" t="n">
        <v>8.49</v>
      </c>
    </row>
    <row r="411" customFormat="false" ht="12.75" hidden="false" customHeight="false" outlineLevel="0" collapsed="false">
      <c r="A411" s="10" t="n">
        <v>37767</v>
      </c>
      <c r="B411" s="11" t="n">
        <v>0.490277777777778</v>
      </c>
      <c r="C411" s="12" t="n">
        <v>2800000</v>
      </c>
      <c r="D411" s="13" t="n">
        <v>8.4</v>
      </c>
    </row>
    <row r="412" customFormat="false" ht="12.75" hidden="false" customHeight="false" outlineLevel="0" collapsed="false">
      <c r="A412" s="10" t="n">
        <v>37776</v>
      </c>
      <c r="B412" s="11" t="n">
        <v>0.454166666666667</v>
      </c>
      <c r="C412" s="12" t="n">
        <v>2700000</v>
      </c>
      <c r="D412" s="13" t="n">
        <v>8.4</v>
      </c>
    </row>
    <row r="413" customFormat="false" ht="12.75" hidden="false" customHeight="false" outlineLevel="0" collapsed="false">
      <c r="A413" s="10" t="n">
        <v>37776</v>
      </c>
      <c r="B413" s="11" t="n">
        <v>0.466666666666667</v>
      </c>
      <c r="C413" s="12" t="n">
        <v>100000</v>
      </c>
      <c r="D413" s="13" t="n">
        <v>8.4</v>
      </c>
    </row>
    <row r="414" customFormat="false" ht="12.75" hidden="false" customHeight="false" outlineLevel="0" collapsed="false">
      <c r="A414" s="10" t="n">
        <v>37778</v>
      </c>
      <c r="B414" s="11" t="n">
        <v>0.484027777777778</v>
      </c>
      <c r="C414" s="12" t="n">
        <v>32388</v>
      </c>
      <c r="D414" s="13" t="n">
        <v>8.4</v>
      </c>
    </row>
    <row r="415" customFormat="false" ht="12.75" hidden="false" customHeight="false" outlineLevel="0" collapsed="false">
      <c r="A415" s="10" t="n">
        <v>37783</v>
      </c>
      <c r="B415" s="11" t="n">
        <v>0.428472222222222</v>
      </c>
      <c r="C415" s="12" t="n">
        <v>40000</v>
      </c>
      <c r="D415" s="13" t="n">
        <v>8.4</v>
      </c>
    </row>
    <row r="416" customFormat="false" ht="12.75" hidden="false" customHeight="false" outlineLevel="0" collapsed="false">
      <c r="A416" s="10" t="n">
        <v>37783</v>
      </c>
      <c r="B416" s="11" t="n">
        <v>0.472222222222222</v>
      </c>
      <c r="C416" s="12" t="n">
        <v>1130470</v>
      </c>
      <c r="D416" s="13" t="n">
        <v>8.4</v>
      </c>
    </row>
    <row r="417" customFormat="false" ht="12.75" hidden="false" customHeight="false" outlineLevel="0" collapsed="false">
      <c r="A417" s="10" t="n">
        <v>37784</v>
      </c>
      <c r="B417" s="11" t="n">
        <v>0.488888888888889</v>
      </c>
      <c r="C417" s="12" t="n">
        <v>134951</v>
      </c>
      <c r="D417" s="13" t="n">
        <v>8.44</v>
      </c>
    </row>
    <row r="418" customFormat="false" ht="12.75" hidden="false" customHeight="false" outlineLevel="0" collapsed="false">
      <c r="A418" s="10" t="n">
        <v>37796</v>
      </c>
      <c r="B418" s="11" t="n">
        <v>0.432638888888889</v>
      </c>
      <c r="C418" s="12" t="n">
        <v>164982</v>
      </c>
      <c r="D418" s="13" t="n">
        <v>8.4</v>
      </c>
    </row>
    <row r="419" customFormat="false" ht="12.75" hidden="false" customHeight="false" outlineLevel="0" collapsed="false">
      <c r="A419" s="10" t="n">
        <v>37796</v>
      </c>
      <c r="B419" s="11" t="n">
        <v>0.509722222222222</v>
      </c>
      <c r="C419" s="12" t="n">
        <v>50000</v>
      </c>
      <c r="D419" s="13" t="n">
        <v>8.4</v>
      </c>
    </row>
    <row r="420" customFormat="false" ht="12.75" hidden="false" customHeight="false" outlineLevel="0" collapsed="false">
      <c r="A420" s="10" t="n">
        <v>37797</v>
      </c>
      <c r="B420" s="11" t="n">
        <v>0.41875</v>
      </c>
      <c r="C420" s="12" t="n">
        <v>5000</v>
      </c>
      <c r="D420" s="13" t="n">
        <v>8.4</v>
      </c>
    </row>
    <row r="421" customFormat="false" ht="12.75" hidden="false" customHeight="false" outlineLevel="0" collapsed="false">
      <c r="A421" s="10" t="n">
        <v>37797</v>
      </c>
      <c r="B421" s="11" t="n">
        <v>0.471527777777778</v>
      </c>
      <c r="C421" s="12" t="n">
        <v>17752</v>
      </c>
      <c r="D421" s="13" t="n">
        <v>8.45</v>
      </c>
    </row>
    <row r="422" customFormat="false" ht="12.75" hidden="false" customHeight="false" outlineLevel="0" collapsed="false">
      <c r="A422" s="10" t="n">
        <v>37797</v>
      </c>
      <c r="B422" s="11" t="n">
        <v>0.471527777777778</v>
      </c>
      <c r="C422" s="12" t="n">
        <v>371407</v>
      </c>
      <c r="D422" s="13" t="n">
        <v>8.45</v>
      </c>
    </row>
    <row r="423" customFormat="false" ht="12.75" hidden="false" customHeight="false" outlineLevel="0" collapsed="false">
      <c r="A423" s="10" t="n">
        <v>37798</v>
      </c>
      <c r="B423" s="11" t="n">
        <v>0.460416666666667</v>
      </c>
      <c r="C423" s="12" t="n">
        <v>434269</v>
      </c>
      <c r="D423" s="13" t="n">
        <v>8.48</v>
      </c>
    </row>
    <row r="424" customFormat="false" ht="12.75" hidden="false" customHeight="false" outlineLevel="0" collapsed="false">
      <c r="A424" s="10" t="n">
        <v>37798</v>
      </c>
      <c r="B424" s="11" t="n">
        <v>0.460416666666667</v>
      </c>
      <c r="C424" s="12" t="n">
        <v>337578</v>
      </c>
      <c r="D424" s="13" t="n">
        <v>8.48</v>
      </c>
    </row>
    <row r="425" customFormat="false" ht="12.75" hidden="false" customHeight="false" outlineLevel="0" collapsed="false">
      <c r="A425" s="10" t="n">
        <v>37817</v>
      </c>
      <c r="B425" s="11" t="n">
        <v>0.452083333333333</v>
      </c>
      <c r="C425" s="12" t="n">
        <v>579029</v>
      </c>
      <c r="D425" s="13" t="n">
        <v>8.4</v>
      </c>
    </row>
    <row r="426" customFormat="false" ht="12.75" hidden="false" customHeight="false" outlineLevel="0" collapsed="false">
      <c r="A426" s="10" t="n">
        <v>37818</v>
      </c>
      <c r="B426" s="11" t="n">
        <v>0.443055555555556</v>
      </c>
      <c r="C426" s="12" t="n">
        <v>100000</v>
      </c>
      <c r="D426" s="13" t="n">
        <v>8.4</v>
      </c>
    </row>
    <row r="427" customFormat="false" ht="12.75" hidden="false" customHeight="false" outlineLevel="0" collapsed="false">
      <c r="A427" s="10" t="n">
        <v>37825</v>
      </c>
      <c r="B427" s="11" t="n">
        <v>0.475</v>
      </c>
      <c r="C427" s="12" t="n">
        <v>42286</v>
      </c>
      <c r="D427" s="13" t="n">
        <v>8.4</v>
      </c>
    </row>
    <row r="428" customFormat="false" ht="12.75" hidden="false" customHeight="false" outlineLevel="0" collapsed="false">
      <c r="A428" s="10" t="n">
        <v>37831</v>
      </c>
      <c r="B428" s="11" t="n">
        <v>0.457638888888889</v>
      </c>
      <c r="C428" s="12" t="n">
        <v>123248</v>
      </c>
      <c r="D428" s="13" t="n">
        <v>8.55</v>
      </c>
    </row>
    <row r="429" customFormat="false" ht="12.75" hidden="false" customHeight="false" outlineLevel="0" collapsed="false">
      <c r="A429" s="10" t="n">
        <v>37832</v>
      </c>
      <c r="B429" s="11" t="n">
        <v>0.447916666666667</v>
      </c>
      <c r="C429" s="12" t="n">
        <v>82421</v>
      </c>
      <c r="D429" s="13" t="n">
        <v>8.49</v>
      </c>
    </row>
    <row r="430" customFormat="false" ht="12.75" hidden="false" customHeight="false" outlineLevel="0" collapsed="false">
      <c r="A430" s="10" t="n">
        <v>37838</v>
      </c>
      <c r="B430" s="11" t="n">
        <v>0.53125</v>
      </c>
      <c r="C430" s="12" t="n">
        <v>49838</v>
      </c>
      <c r="D430" s="13" t="n">
        <v>8.82</v>
      </c>
    </row>
    <row r="431" customFormat="false" ht="12.75" hidden="false" customHeight="false" outlineLevel="0" collapsed="false">
      <c r="A431" s="10" t="n">
        <v>37839</v>
      </c>
      <c r="B431" s="11" t="n">
        <v>0.459027777777778</v>
      </c>
      <c r="C431" s="12" t="n">
        <v>57251</v>
      </c>
      <c r="D431" s="13" t="n">
        <v>8.77</v>
      </c>
    </row>
    <row r="432" customFormat="false" ht="12.75" hidden="false" customHeight="false" outlineLevel="0" collapsed="false">
      <c r="A432" s="10" t="n">
        <v>37840</v>
      </c>
      <c r="B432" s="11" t="n">
        <v>0.497222222222222</v>
      </c>
      <c r="C432" s="12" t="n">
        <v>113813</v>
      </c>
      <c r="D432" s="13" t="n">
        <v>8.75</v>
      </c>
    </row>
    <row r="433" customFormat="false" ht="12.75" hidden="false" customHeight="false" outlineLevel="0" collapsed="false">
      <c r="A433" s="10" t="n">
        <v>37845</v>
      </c>
      <c r="B433" s="11" t="n">
        <v>0.526388888888889</v>
      </c>
      <c r="C433" s="12" t="n">
        <v>100000</v>
      </c>
      <c r="D433" s="13" t="n">
        <v>8.77</v>
      </c>
    </row>
    <row r="434" customFormat="false" ht="12.75" hidden="false" customHeight="false" outlineLevel="0" collapsed="false">
      <c r="A434" s="10" t="n">
        <v>37859</v>
      </c>
      <c r="B434" s="11" t="n">
        <v>0.509027777777778</v>
      </c>
      <c r="C434" s="12" t="n">
        <v>105000</v>
      </c>
      <c r="D434" s="13" t="n">
        <v>8.99</v>
      </c>
    </row>
    <row r="435" customFormat="false" ht="12.75" hidden="false" customHeight="false" outlineLevel="0" collapsed="false">
      <c r="A435" s="10" t="n">
        <v>37859</v>
      </c>
      <c r="B435" s="11" t="n">
        <v>0.513194444444444</v>
      </c>
      <c r="C435" s="12" t="n">
        <v>100000</v>
      </c>
      <c r="D435" s="13" t="n">
        <v>9.05</v>
      </c>
    </row>
    <row r="436" customFormat="false" ht="12.75" hidden="false" customHeight="false" outlineLevel="0" collapsed="false">
      <c r="A436" s="10" t="n">
        <v>37859</v>
      </c>
      <c r="B436" s="11" t="n">
        <v>0.515972222222222</v>
      </c>
      <c r="C436" s="12" t="n">
        <v>100000</v>
      </c>
      <c r="D436" s="13" t="n">
        <v>9.12</v>
      </c>
    </row>
    <row r="437" customFormat="false" ht="12.75" hidden="false" customHeight="false" outlineLevel="0" collapsed="false">
      <c r="A437" s="10" t="n">
        <v>37859</v>
      </c>
      <c r="B437" s="11" t="n">
        <v>0.516666666666667</v>
      </c>
      <c r="C437" s="12" t="n">
        <v>86370</v>
      </c>
      <c r="D437" s="13" t="n">
        <v>9.05</v>
      </c>
    </row>
    <row r="438" customFormat="false" ht="12.75" hidden="false" customHeight="false" outlineLevel="0" collapsed="false">
      <c r="A438" s="10" t="n">
        <v>37860</v>
      </c>
      <c r="B438" s="11" t="n">
        <v>0.495833333333333</v>
      </c>
      <c r="C438" s="12" t="n">
        <v>664768</v>
      </c>
      <c r="D438" s="13" t="n">
        <v>9.32</v>
      </c>
    </row>
    <row r="439" customFormat="false" ht="12.75" hidden="false" customHeight="false" outlineLevel="0" collapsed="false">
      <c r="A439" s="10" t="n">
        <v>37868</v>
      </c>
      <c r="B439" s="11" t="n">
        <v>0.429166666666667</v>
      </c>
      <c r="C439" s="12" t="n">
        <v>216902</v>
      </c>
      <c r="D439" s="13" t="n">
        <v>9.57</v>
      </c>
    </row>
    <row r="440" customFormat="false" ht="12.75" hidden="false" customHeight="false" outlineLevel="0" collapsed="false">
      <c r="A440" s="10" t="n">
        <v>37868</v>
      </c>
      <c r="B440" s="11" t="n">
        <v>0.442361111111111</v>
      </c>
      <c r="C440" s="12" t="n">
        <v>500000</v>
      </c>
      <c r="D440" s="13" t="n">
        <v>9.51</v>
      </c>
    </row>
    <row r="441" customFormat="false" ht="12.75" hidden="false" customHeight="false" outlineLevel="0" collapsed="false">
      <c r="A441" s="10" t="n">
        <v>37868</v>
      </c>
      <c r="B441" s="11" t="n">
        <v>0.442361111111111</v>
      </c>
      <c r="C441" s="12" t="n">
        <v>125000</v>
      </c>
      <c r="D441" s="13" t="n">
        <v>9.5</v>
      </c>
    </row>
    <row r="442" customFormat="false" ht="12.75" hidden="false" customHeight="false" outlineLevel="0" collapsed="false">
      <c r="A442" s="10" t="n">
        <v>37868</v>
      </c>
      <c r="B442" s="11" t="n">
        <v>0.445138888888889</v>
      </c>
      <c r="C442" s="12" t="n">
        <v>8440626</v>
      </c>
      <c r="D442" s="13" t="n">
        <v>9.51</v>
      </c>
    </row>
    <row r="443" customFormat="false" ht="12.75" hidden="false" customHeight="false" outlineLevel="0" collapsed="false">
      <c r="A443" s="10" t="n">
        <v>37868</v>
      </c>
      <c r="B443" s="11" t="n">
        <v>0.514583333333333</v>
      </c>
      <c r="C443" s="12" t="n">
        <v>68264</v>
      </c>
      <c r="D443" s="13" t="n">
        <v>9.62</v>
      </c>
    </row>
    <row r="444" customFormat="false" ht="12.75" hidden="false" customHeight="false" outlineLevel="0" collapsed="false">
      <c r="A444" s="10" t="n">
        <v>37872</v>
      </c>
      <c r="B444" s="11" t="n">
        <v>0.490972222222222</v>
      </c>
      <c r="C444" s="12" t="n">
        <v>450000</v>
      </c>
      <c r="D444" s="13" t="n">
        <v>9.73</v>
      </c>
    </row>
    <row r="445" customFormat="false" ht="12.75" hidden="false" customHeight="false" outlineLevel="0" collapsed="false">
      <c r="A445" s="10" t="n">
        <v>37874</v>
      </c>
      <c r="B445" s="11" t="n">
        <v>0.527777777777778</v>
      </c>
      <c r="C445" s="12" t="n">
        <v>500000</v>
      </c>
      <c r="D445" s="13" t="n">
        <v>10</v>
      </c>
    </row>
    <row r="446" customFormat="false" ht="12.75" hidden="false" customHeight="false" outlineLevel="0" collapsed="false">
      <c r="A446" s="10" t="n">
        <v>37875</v>
      </c>
      <c r="B446" s="11" t="n">
        <v>0.429861111111111</v>
      </c>
      <c r="C446" s="12" t="n">
        <v>100000</v>
      </c>
      <c r="D446" s="13" t="n">
        <v>10.07</v>
      </c>
    </row>
    <row r="447" customFormat="false" ht="12.75" hidden="false" customHeight="false" outlineLevel="0" collapsed="false">
      <c r="A447" s="10" t="n">
        <v>37875</v>
      </c>
      <c r="B447" s="11" t="n">
        <v>0.438888888888889</v>
      </c>
      <c r="C447" s="12" t="n">
        <v>41100</v>
      </c>
      <c r="D447" s="13" t="n">
        <v>10.19</v>
      </c>
    </row>
    <row r="448" customFormat="false" ht="12.75" hidden="false" customHeight="false" outlineLevel="0" collapsed="false">
      <c r="A448" s="10" t="n">
        <v>37875</v>
      </c>
      <c r="B448" s="11" t="n">
        <v>0.438888888888889</v>
      </c>
      <c r="C448" s="12" t="n">
        <v>94462</v>
      </c>
      <c r="D448" s="13" t="n">
        <v>10.19</v>
      </c>
    </row>
    <row r="449" customFormat="false" ht="12.75" hidden="false" customHeight="false" outlineLevel="0" collapsed="false">
      <c r="A449" s="10" t="n">
        <v>37875</v>
      </c>
      <c r="B449" s="11" t="n">
        <v>0.438888888888889</v>
      </c>
      <c r="C449" s="12" t="n">
        <v>500000</v>
      </c>
      <c r="D449" s="13" t="n">
        <v>10.19</v>
      </c>
    </row>
    <row r="450" customFormat="false" ht="12.75" hidden="false" customHeight="false" outlineLevel="0" collapsed="false">
      <c r="A450" s="10" t="n">
        <v>37875</v>
      </c>
      <c r="B450" s="11" t="n">
        <v>0.438888888888889</v>
      </c>
      <c r="C450" s="12" t="n">
        <v>58900</v>
      </c>
      <c r="D450" s="13" t="n">
        <v>10.19</v>
      </c>
    </row>
    <row r="451" customFormat="false" ht="12.75" hidden="false" customHeight="false" outlineLevel="0" collapsed="false">
      <c r="A451" s="10" t="n">
        <v>37875</v>
      </c>
      <c r="B451" s="11" t="n">
        <v>0.452777777777778</v>
      </c>
      <c r="C451" s="12" t="n">
        <v>58900</v>
      </c>
      <c r="D451" s="13" t="n">
        <v>10.25</v>
      </c>
    </row>
    <row r="452" customFormat="false" ht="12.75" hidden="false" customHeight="false" outlineLevel="0" collapsed="false">
      <c r="A452" s="10" t="n">
        <v>37876</v>
      </c>
      <c r="B452" s="11" t="n">
        <v>0.543055555555555</v>
      </c>
      <c r="C452" s="12" t="n">
        <v>94669</v>
      </c>
      <c r="D452" s="13" t="n">
        <v>10.15</v>
      </c>
    </row>
    <row r="453" customFormat="false" ht="12.75" hidden="false" customHeight="false" outlineLevel="0" collapsed="false">
      <c r="A453" s="10" t="n">
        <v>37876</v>
      </c>
      <c r="B453" s="11" t="n">
        <v>0.543055555555555</v>
      </c>
      <c r="C453" s="12" t="n">
        <v>5331</v>
      </c>
      <c r="D453" s="13" t="n">
        <v>10.15</v>
      </c>
    </row>
    <row r="454" customFormat="false" ht="12.75" hidden="false" customHeight="false" outlineLevel="0" collapsed="false">
      <c r="A454" s="10" t="n">
        <v>37882</v>
      </c>
      <c r="B454" s="11" t="n">
        <v>0.434722222222222</v>
      </c>
      <c r="C454" s="12" t="n">
        <v>100000</v>
      </c>
      <c r="D454" s="13" t="n">
        <v>10</v>
      </c>
    </row>
    <row r="455" customFormat="false" ht="12.75" hidden="false" customHeight="false" outlineLevel="0" collapsed="false">
      <c r="A455" s="10" t="n">
        <v>37882</v>
      </c>
      <c r="B455" s="11" t="n">
        <v>0.434722222222222</v>
      </c>
      <c r="C455" s="12" t="n">
        <v>2000000</v>
      </c>
      <c r="D455" s="13" t="n">
        <v>10</v>
      </c>
    </row>
    <row r="456" customFormat="false" ht="12.75" hidden="false" customHeight="false" outlineLevel="0" collapsed="false">
      <c r="A456" s="10" t="n">
        <v>37882</v>
      </c>
      <c r="B456" s="11" t="n">
        <v>0.434722222222222</v>
      </c>
      <c r="C456" s="12" t="n">
        <v>222025</v>
      </c>
      <c r="D456" s="13" t="n">
        <v>10.01</v>
      </c>
    </row>
    <row r="457" customFormat="false" ht="12.75" hidden="false" customHeight="false" outlineLevel="0" collapsed="false">
      <c r="A457" s="10" t="n">
        <v>37882</v>
      </c>
      <c r="B457" s="11" t="n">
        <v>0.436111111111111</v>
      </c>
      <c r="C457" s="12" t="n">
        <v>1000000</v>
      </c>
      <c r="D457" s="13" t="n">
        <v>10</v>
      </c>
    </row>
    <row r="458" customFormat="false" ht="12.75" hidden="false" customHeight="false" outlineLevel="0" collapsed="false">
      <c r="A458" s="10" t="n">
        <v>37882</v>
      </c>
      <c r="B458" s="11" t="n">
        <v>0.439583333333333</v>
      </c>
      <c r="C458" s="12" t="n">
        <v>2122025</v>
      </c>
      <c r="D458" s="13" t="n">
        <v>10</v>
      </c>
    </row>
    <row r="459" customFormat="false" ht="12.75" hidden="false" customHeight="false" outlineLevel="0" collapsed="false">
      <c r="A459" s="10" t="n">
        <v>37882</v>
      </c>
      <c r="B459" s="11" t="n">
        <v>0.472222222222222</v>
      </c>
      <c r="C459" s="12" t="n">
        <v>200000</v>
      </c>
      <c r="D459" s="13" t="n">
        <v>10</v>
      </c>
    </row>
    <row r="460" customFormat="false" ht="12.75" hidden="false" customHeight="false" outlineLevel="0" collapsed="false">
      <c r="A460" s="10" t="n">
        <v>37882</v>
      </c>
      <c r="B460" s="11" t="n">
        <v>0.476388888888889</v>
      </c>
      <c r="C460" s="12" t="n">
        <v>200000</v>
      </c>
      <c r="D460" s="13" t="n">
        <v>10</v>
      </c>
    </row>
    <row r="461" customFormat="false" ht="12.75" hidden="false" customHeight="false" outlineLevel="0" collapsed="false">
      <c r="A461" s="10" t="n">
        <v>37883</v>
      </c>
      <c r="B461" s="11" t="n">
        <v>0.495833333333333</v>
      </c>
      <c r="C461" s="12" t="n">
        <v>40000</v>
      </c>
      <c r="D461" s="13" t="n">
        <v>10</v>
      </c>
    </row>
    <row r="462" customFormat="false" ht="12.75" hidden="false" customHeight="false" outlineLevel="0" collapsed="false">
      <c r="A462" s="10" t="n">
        <v>37886</v>
      </c>
      <c r="B462" s="11" t="n">
        <v>0.418055555555556</v>
      </c>
      <c r="C462" s="12" t="n">
        <v>24021</v>
      </c>
      <c r="D462" s="13" t="n">
        <v>10</v>
      </c>
    </row>
    <row r="463" customFormat="false" ht="12.75" hidden="false" customHeight="false" outlineLevel="0" collapsed="false">
      <c r="A463" s="10" t="n">
        <v>37886</v>
      </c>
      <c r="B463" s="11" t="n">
        <v>0.439583333333333</v>
      </c>
      <c r="C463" s="12" t="n">
        <v>50000</v>
      </c>
      <c r="D463" s="13" t="n">
        <v>10.06</v>
      </c>
    </row>
    <row r="464" customFormat="false" ht="12.75" hidden="false" customHeight="false" outlineLevel="0" collapsed="false">
      <c r="A464" s="10" t="n">
        <v>37886</v>
      </c>
      <c r="B464" s="11" t="n">
        <v>0.482638888888889</v>
      </c>
      <c r="C464" s="12" t="n">
        <v>1000000</v>
      </c>
      <c r="D464" s="13" t="n">
        <v>10</v>
      </c>
    </row>
    <row r="465" customFormat="false" ht="12.75" hidden="false" customHeight="false" outlineLevel="0" collapsed="false">
      <c r="A465" s="10" t="n">
        <v>37886</v>
      </c>
      <c r="B465" s="11" t="n">
        <v>0.491666666666667</v>
      </c>
      <c r="C465" s="12" t="n">
        <v>1000000</v>
      </c>
      <c r="D465" s="13" t="n">
        <v>10</v>
      </c>
    </row>
    <row r="466" customFormat="false" ht="12.75" hidden="false" customHeight="false" outlineLevel="0" collapsed="false">
      <c r="A466" s="10" t="n">
        <v>37887</v>
      </c>
      <c r="B466" s="11" t="n">
        <v>0.525694444444444</v>
      </c>
      <c r="C466" s="12" t="n">
        <v>1000000</v>
      </c>
      <c r="D466" s="13" t="n">
        <v>10</v>
      </c>
    </row>
    <row r="467" customFormat="false" ht="12.75" hidden="false" customHeight="false" outlineLevel="0" collapsed="false">
      <c r="A467" s="10" t="n">
        <v>37889</v>
      </c>
      <c r="B467" s="11" t="n">
        <v>0.465277777777778</v>
      </c>
      <c r="C467" s="12" t="n">
        <v>40000</v>
      </c>
      <c r="D467" s="13" t="n">
        <v>10.09</v>
      </c>
    </row>
    <row r="468" customFormat="false" ht="12.75" hidden="false" customHeight="false" outlineLevel="0" collapsed="false">
      <c r="A468" s="10" t="n">
        <v>37893</v>
      </c>
      <c r="B468" s="11" t="n">
        <v>0.452777777777778</v>
      </c>
      <c r="C468" s="12" t="n">
        <v>10750</v>
      </c>
      <c r="D468" s="13" t="n">
        <v>10</v>
      </c>
    </row>
    <row r="469" customFormat="false" ht="12.75" hidden="false" customHeight="false" outlineLevel="0" collapsed="false">
      <c r="A469" s="10" t="n">
        <v>37893</v>
      </c>
      <c r="B469" s="11" t="n">
        <v>0.461805555555556</v>
      </c>
      <c r="C469" s="12" t="n">
        <v>80000</v>
      </c>
      <c r="D469" s="13" t="n">
        <v>10</v>
      </c>
    </row>
    <row r="470" customFormat="false" ht="12.75" hidden="false" customHeight="false" outlineLevel="0" collapsed="false">
      <c r="A470" s="10" t="n">
        <v>37893</v>
      </c>
      <c r="B470" s="11" t="n">
        <v>0.481944444444444</v>
      </c>
      <c r="C470" s="12" t="n">
        <v>10841</v>
      </c>
      <c r="D470" s="13" t="n">
        <v>9.99</v>
      </c>
    </row>
    <row r="471" customFormat="false" ht="12.75" hidden="false" customHeight="false" outlineLevel="0" collapsed="false">
      <c r="A471" s="10" t="n">
        <v>37893</v>
      </c>
      <c r="B471" s="11" t="n">
        <v>0.482638888888889</v>
      </c>
      <c r="C471" s="12" t="n">
        <v>10750</v>
      </c>
      <c r="D471" s="13" t="n">
        <v>9.99</v>
      </c>
    </row>
    <row r="472" customFormat="false" ht="12.75" hidden="false" customHeight="false" outlineLevel="0" collapsed="false">
      <c r="A472" s="10" t="n">
        <v>37893</v>
      </c>
      <c r="B472" s="11" t="n">
        <v>0.496527777777778</v>
      </c>
      <c r="C472" s="12" t="n">
        <v>5981</v>
      </c>
      <c r="D472" s="13" t="n">
        <v>10</v>
      </c>
    </row>
    <row r="473" customFormat="false" ht="12.75" hidden="false" customHeight="false" outlineLevel="0" collapsed="false">
      <c r="A473" s="10" t="n">
        <v>37902</v>
      </c>
      <c r="B473" s="11" t="n">
        <v>0.467361111111111</v>
      </c>
      <c r="C473" s="12" t="n">
        <v>35187</v>
      </c>
      <c r="D473" s="13" t="n">
        <v>9.75</v>
      </c>
    </row>
    <row r="474" customFormat="false" ht="12.75" hidden="false" customHeight="false" outlineLevel="0" collapsed="false">
      <c r="A474" s="10" t="n">
        <v>37902</v>
      </c>
      <c r="B474" s="11" t="n">
        <v>0.469444444444444</v>
      </c>
      <c r="C474" s="12" t="n">
        <v>50000</v>
      </c>
      <c r="D474" s="13" t="n">
        <v>9.75</v>
      </c>
    </row>
    <row r="475" customFormat="false" ht="12.75" hidden="false" customHeight="false" outlineLevel="0" collapsed="false">
      <c r="A475" s="10" t="n">
        <v>37902</v>
      </c>
      <c r="B475" s="11" t="n">
        <v>0.469444444444444</v>
      </c>
      <c r="C475" s="12" t="n">
        <v>51841</v>
      </c>
      <c r="D475" s="13" t="n">
        <v>9.75</v>
      </c>
    </row>
    <row r="476" customFormat="false" ht="12.75" hidden="false" customHeight="false" outlineLevel="0" collapsed="false">
      <c r="A476" s="10" t="n">
        <v>37903</v>
      </c>
      <c r="B476" s="11" t="n">
        <v>0.452083333333333</v>
      </c>
      <c r="C476" s="12" t="n">
        <v>121951</v>
      </c>
      <c r="D476" s="13" t="n">
        <v>9.75</v>
      </c>
    </row>
    <row r="477" customFormat="false" ht="12.75" hidden="false" customHeight="false" outlineLevel="0" collapsed="false">
      <c r="A477" s="10" t="n">
        <v>37904</v>
      </c>
      <c r="B477" s="11" t="n">
        <v>0.447916666666667</v>
      </c>
      <c r="C477" s="12" t="n">
        <v>500000</v>
      </c>
      <c r="D477" s="13" t="n">
        <v>9.75</v>
      </c>
    </row>
    <row r="478" customFormat="false" ht="12.75" hidden="false" customHeight="false" outlineLevel="0" collapsed="false">
      <c r="A478" s="10" t="n">
        <v>37904</v>
      </c>
      <c r="B478" s="11" t="n">
        <v>0.450694444444444</v>
      </c>
      <c r="C478" s="12" t="n">
        <v>1000000</v>
      </c>
      <c r="D478" s="13" t="n">
        <v>9.75</v>
      </c>
    </row>
    <row r="479" customFormat="false" ht="12.75" hidden="false" customHeight="false" outlineLevel="0" collapsed="false">
      <c r="A479" s="10" t="n">
        <v>37904</v>
      </c>
      <c r="B479" s="11" t="n">
        <v>0.535416666666667</v>
      </c>
      <c r="C479" s="12" t="n">
        <v>1000000</v>
      </c>
      <c r="D479" s="13" t="n">
        <v>9.76</v>
      </c>
    </row>
    <row r="480" customFormat="false" ht="12.75" hidden="false" customHeight="false" outlineLevel="0" collapsed="false">
      <c r="A480" s="10" t="n">
        <v>37907</v>
      </c>
      <c r="B480" s="11" t="n">
        <v>0.422222222222222</v>
      </c>
      <c r="C480" s="12" t="n">
        <v>130000</v>
      </c>
      <c r="D480" s="13" t="n">
        <v>9.75</v>
      </c>
    </row>
    <row r="481" customFormat="false" ht="12.75" hidden="false" customHeight="false" outlineLevel="0" collapsed="false">
      <c r="A481" s="10" t="n">
        <v>37907</v>
      </c>
      <c r="B481" s="11" t="n">
        <v>0.422916666666667</v>
      </c>
      <c r="C481" s="12" t="n">
        <v>2000000</v>
      </c>
      <c r="D481" s="13" t="n">
        <v>9.75</v>
      </c>
    </row>
    <row r="482" customFormat="false" ht="12.75" hidden="false" customHeight="false" outlineLevel="0" collapsed="false">
      <c r="A482" s="10" t="n">
        <v>37907</v>
      </c>
      <c r="B482" s="11" t="n">
        <v>0.436111111111111</v>
      </c>
      <c r="C482" s="12" t="n">
        <v>589918</v>
      </c>
      <c r="D482" s="13" t="n">
        <v>9.75</v>
      </c>
    </row>
    <row r="483" customFormat="false" ht="12.75" hidden="false" customHeight="false" outlineLevel="0" collapsed="false">
      <c r="A483" s="10" t="n">
        <v>37907</v>
      </c>
      <c r="B483" s="11" t="n">
        <v>0.4375</v>
      </c>
      <c r="C483" s="12" t="n">
        <v>150000</v>
      </c>
      <c r="D483" s="13" t="n">
        <v>9.75</v>
      </c>
    </row>
    <row r="484" customFormat="false" ht="12.75" hidden="false" customHeight="false" outlineLevel="0" collapsed="false">
      <c r="A484" s="10" t="n">
        <v>37907</v>
      </c>
      <c r="B484" s="11" t="n">
        <v>0.508333333333333</v>
      </c>
      <c r="C484" s="12" t="n">
        <v>214197</v>
      </c>
      <c r="D484" s="13" t="n">
        <v>9.75</v>
      </c>
    </row>
    <row r="485" customFormat="false" ht="12.75" hidden="false" customHeight="false" outlineLevel="0" collapsed="false">
      <c r="A485" s="10" t="n">
        <v>37908</v>
      </c>
      <c r="B485" s="11" t="n">
        <v>0.444444444444444</v>
      </c>
      <c r="C485" s="12" t="n">
        <v>36318</v>
      </c>
      <c r="D485" s="13" t="n">
        <v>9.75</v>
      </c>
    </row>
    <row r="486" customFormat="false" ht="12.75" hidden="false" customHeight="false" outlineLevel="0" collapsed="false">
      <c r="A486" s="10" t="n">
        <v>37908</v>
      </c>
      <c r="B486" s="11" t="n">
        <v>0.453472222222222</v>
      </c>
      <c r="C486" s="12" t="n">
        <v>318341</v>
      </c>
      <c r="D486" s="13" t="n">
        <v>9.75</v>
      </c>
    </row>
    <row r="487" customFormat="false" ht="12.75" hidden="false" customHeight="false" outlineLevel="0" collapsed="false">
      <c r="A487" s="10" t="n">
        <v>37908</v>
      </c>
      <c r="B487" s="11" t="n">
        <v>0.453472222222222</v>
      </c>
      <c r="C487" s="12" t="n">
        <v>2000000</v>
      </c>
      <c r="D487" s="13" t="n">
        <v>9.75</v>
      </c>
    </row>
    <row r="488" customFormat="false" ht="12.75" hidden="false" customHeight="false" outlineLevel="0" collapsed="false">
      <c r="A488" s="10" t="n">
        <v>37909</v>
      </c>
      <c r="B488" s="11" t="n">
        <v>0.460416666666667</v>
      </c>
      <c r="C488" s="12" t="n">
        <v>225000</v>
      </c>
      <c r="D488" s="13" t="n">
        <v>9.75</v>
      </c>
    </row>
    <row r="489" customFormat="false" ht="12.75" hidden="false" customHeight="false" outlineLevel="0" collapsed="false">
      <c r="A489" s="10" t="n">
        <v>37909</v>
      </c>
      <c r="B489" s="11" t="n">
        <v>0.460416666666667</v>
      </c>
      <c r="C489" s="12" t="n">
        <v>2150000</v>
      </c>
      <c r="D489" s="13" t="n">
        <v>9.75</v>
      </c>
    </row>
    <row r="490" customFormat="false" ht="12.75" hidden="false" customHeight="false" outlineLevel="0" collapsed="false">
      <c r="A490" s="10" t="n">
        <v>37909</v>
      </c>
      <c r="B490" s="11" t="n">
        <v>0.527777777777778</v>
      </c>
      <c r="C490" s="12" t="n">
        <v>225000</v>
      </c>
      <c r="D490" s="13" t="n">
        <v>9.75</v>
      </c>
    </row>
    <row r="491" customFormat="false" ht="12.75" hidden="false" customHeight="false" outlineLevel="0" collapsed="false">
      <c r="A491" s="10" t="n">
        <v>37910</v>
      </c>
      <c r="B491" s="11" t="n">
        <v>0.513194444444444</v>
      </c>
      <c r="C491" s="12" t="n">
        <v>281019</v>
      </c>
      <c r="D491" s="13" t="n">
        <v>9.75</v>
      </c>
    </row>
    <row r="492" customFormat="false" ht="12.75" hidden="false" customHeight="false" outlineLevel="0" collapsed="false">
      <c r="A492" s="10" t="n">
        <v>37910</v>
      </c>
      <c r="B492" s="11" t="n">
        <v>0.516666666666667</v>
      </c>
      <c r="C492" s="12" t="n">
        <v>318341</v>
      </c>
      <c r="D492" s="13" t="n">
        <v>9.75</v>
      </c>
    </row>
    <row r="493" customFormat="false" ht="12.75" hidden="false" customHeight="false" outlineLevel="0" collapsed="false">
      <c r="A493" s="10" t="n">
        <v>37911</v>
      </c>
      <c r="B493" s="11" t="n">
        <v>0.463194444444444</v>
      </c>
      <c r="C493" s="12" t="n">
        <v>281019</v>
      </c>
      <c r="D493" s="13" t="n">
        <v>9.75</v>
      </c>
    </row>
    <row r="494" customFormat="false" ht="12.75" hidden="false" customHeight="false" outlineLevel="0" collapsed="false">
      <c r="A494" s="10" t="n">
        <v>37911</v>
      </c>
      <c r="B494" s="11" t="n">
        <v>0.525694444444444</v>
      </c>
      <c r="C494" s="12" t="n">
        <v>14809</v>
      </c>
      <c r="D494" s="13" t="n">
        <v>9.73</v>
      </c>
    </row>
    <row r="495" customFormat="false" ht="12.75" hidden="false" customHeight="false" outlineLevel="0" collapsed="false">
      <c r="A495" s="10" t="n">
        <v>37917</v>
      </c>
      <c r="B495" s="11" t="n">
        <v>0.539583333333333</v>
      </c>
      <c r="C495" s="12" t="n">
        <v>450000</v>
      </c>
      <c r="D495" s="13" t="n">
        <v>9.75</v>
      </c>
    </row>
    <row r="496" customFormat="false" ht="12.75" hidden="false" customHeight="false" outlineLevel="0" collapsed="false">
      <c r="A496" s="10" t="n">
        <v>37921</v>
      </c>
      <c r="B496" s="11" t="n">
        <v>0.519444444444444</v>
      </c>
      <c r="C496" s="12" t="n">
        <v>233349</v>
      </c>
      <c r="D496" s="13" t="n">
        <v>9.73</v>
      </c>
    </row>
    <row r="497" customFormat="false" ht="12.75" hidden="false" customHeight="false" outlineLevel="0" collapsed="false">
      <c r="A497" s="10" t="n">
        <v>37921</v>
      </c>
      <c r="B497" s="11" t="n">
        <v>0.519444444444444</v>
      </c>
      <c r="C497" s="12" t="n">
        <v>50000</v>
      </c>
      <c r="D497" s="13" t="n">
        <v>9.73</v>
      </c>
    </row>
    <row r="498" customFormat="false" ht="12.75" hidden="false" customHeight="false" outlineLevel="0" collapsed="false">
      <c r="A498" s="10" t="n">
        <v>37922</v>
      </c>
      <c r="B498" s="11" t="n">
        <v>0.49375</v>
      </c>
      <c r="C498" s="12" t="n">
        <v>500000</v>
      </c>
      <c r="D498" s="13" t="n">
        <v>9.75</v>
      </c>
    </row>
    <row r="499" customFormat="false" ht="12.75" hidden="false" customHeight="false" outlineLevel="0" collapsed="false">
      <c r="A499" s="10" t="n">
        <v>37922</v>
      </c>
      <c r="B499" s="11" t="n">
        <v>0.494444444444444</v>
      </c>
      <c r="C499" s="12" t="n">
        <v>500000</v>
      </c>
      <c r="D499" s="13" t="n">
        <v>9.75</v>
      </c>
    </row>
    <row r="500" customFormat="false" ht="12.75" hidden="false" customHeight="false" outlineLevel="0" collapsed="false">
      <c r="A500" s="10" t="n">
        <v>37922</v>
      </c>
      <c r="B500" s="11" t="n">
        <v>0.499305555555555</v>
      </c>
      <c r="C500" s="12" t="n">
        <v>500000</v>
      </c>
      <c r="D500" s="13" t="n">
        <v>9.75</v>
      </c>
    </row>
    <row r="501" customFormat="false" ht="12.75" hidden="false" customHeight="false" outlineLevel="0" collapsed="false">
      <c r="A501" s="10" t="n">
        <v>37925</v>
      </c>
      <c r="B501" s="11" t="n">
        <v>0.540972222222222</v>
      </c>
      <c r="C501" s="12" t="n">
        <v>59983</v>
      </c>
      <c r="D501" s="13" t="n">
        <v>9.75</v>
      </c>
    </row>
    <row r="502" customFormat="false" ht="12.75" hidden="false" customHeight="false" outlineLevel="0" collapsed="false">
      <c r="A502" s="10" t="n">
        <v>37929</v>
      </c>
      <c r="B502" s="11" t="n">
        <v>0.417361111111111</v>
      </c>
      <c r="C502" s="12" t="n">
        <v>10073</v>
      </c>
      <c r="D502" s="13" t="n">
        <v>9.75</v>
      </c>
    </row>
    <row r="503" customFormat="false" ht="12.75" hidden="false" customHeight="false" outlineLevel="0" collapsed="false">
      <c r="A503" s="10" t="n">
        <v>37929</v>
      </c>
      <c r="B503" s="11" t="n">
        <v>0.417361111111111</v>
      </c>
      <c r="C503" s="12" t="n">
        <v>1188701</v>
      </c>
      <c r="D503" s="13" t="n">
        <v>9.75</v>
      </c>
    </row>
    <row r="504" customFormat="false" ht="12.75" hidden="false" customHeight="false" outlineLevel="0" collapsed="false">
      <c r="A504" s="10" t="n">
        <v>37929</v>
      </c>
      <c r="B504" s="11" t="n">
        <v>0.417361111111111</v>
      </c>
      <c r="C504" s="12" t="n">
        <v>1451877</v>
      </c>
      <c r="D504" s="13" t="n">
        <v>9.75</v>
      </c>
    </row>
    <row r="505" customFormat="false" ht="12.75" hidden="false" customHeight="false" outlineLevel="0" collapsed="false">
      <c r="A505" s="10" t="n">
        <v>37929</v>
      </c>
      <c r="B505" s="11" t="n">
        <v>0.417361111111111</v>
      </c>
      <c r="C505" s="12" t="n">
        <v>1032052</v>
      </c>
      <c r="D505" s="13" t="n">
        <v>9.75</v>
      </c>
    </row>
    <row r="506" customFormat="false" ht="12.75" hidden="false" customHeight="false" outlineLevel="0" collapsed="false">
      <c r="A506" s="10" t="n">
        <v>37929</v>
      </c>
      <c r="B506" s="11" t="n">
        <v>0.520833333333333</v>
      </c>
      <c r="C506" s="12" t="n">
        <v>90178</v>
      </c>
      <c r="D506" s="13" t="n">
        <v>9.75</v>
      </c>
    </row>
    <row r="507" customFormat="false" ht="12.75" hidden="false" customHeight="false" outlineLevel="0" collapsed="false">
      <c r="A507" s="10" t="n">
        <v>37931</v>
      </c>
      <c r="B507" s="11" t="n">
        <v>0.417361111111111</v>
      </c>
      <c r="C507" s="12" t="n">
        <v>291668</v>
      </c>
      <c r="D507" s="13" t="n">
        <v>9.75</v>
      </c>
    </row>
    <row r="508" customFormat="false" ht="12.75" hidden="false" customHeight="false" outlineLevel="0" collapsed="false">
      <c r="A508" s="10" t="n">
        <v>37932</v>
      </c>
      <c r="B508" s="11" t="n">
        <v>0.527777777777778</v>
      </c>
      <c r="C508" s="12" t="n">
        <v>116507</v>
      </c>
      <c r="D508" s="13" t="n">
        <v>9.75</v>
      </c>
    </row>
    <row r="509" customFormat="false" ht="12.75" hidden="false" customHeight="false" outlineLevel="0" collapsed="false">
      <c r="A509" s="10" t="n">
        <v>37932</v>
      </c>
      <c r="B509" s="11" t="n">
        <v>0.527777777777778</v>
      </c>
      <c r="C509" s="12" t="n">
        <v>516013</v>
      </c>
      <c r="D509" s="13" t="n">
        <v>9.75</v>
      </c>
    </row>
    <row r="510" customFormat="false" ht="12.75" hidden="false" customHeight="false" outlineLevel="0" collapsed="false">
      <c r="A510" s="10" t="n">
        <v>37935</v>
      </c>
      <c r="B510" s="11" t="n">
        <v>0.418055555555556</v>
      </c>
      <c r="C510" s="12" t="n">
        <v>205000</v>
      </c>
      <c r="D510" s="13" t="n">
        <v>9.75</v>
      </c>
    </row>
    <row r="511" customFormat="false" ht="12.75" hidden="false" customHeight="false" outlineLevel="0" collapsed="false">
      <c r="A511" s="10" t="n">
        <v>37936</v>
      </c>
      <c r="B511" s="11" t="n">
        <v>0.524305555555556</v>
      </c>
      <c r="C511" s="12" t="n">
        <v>11858</v>
      </c>
      <c r="D511" s="13" t="n">
        <v>9.75</v>
      </c>
    </row>
    <row r="512" customFormat="false" ht="12.75" hidden="false" customHeight="false" outlineLevel="0" collapsed="false">
      <c r="A512" s="10" t="n">
        <v>37936</v>
      </c>
      <c r="B512" s="11" t="n">
        <v>0.529166666666667</v>
      </c>
      <c r="C512" s="12" t="n">
        <v>355622</v>
      </c>
      <c r="D512" s="13" t="n">
        <v>9.75</v>
      </c>
    </row>
    <row r="513" customFormat="false" ht="12.75" hidden="false" customHeight="false" outlineLevel="0" collapsed="false">
      <c r="A513" s="10" t="n">
        <v>37938</v>
      </c>
      <c r="B513" s="11" t="n">
        <v>0.522222222222222</v>
      </c>
      <c r="C513" s="12" t="n">
        <v>16344</v>
      </c>
      <c r="D513" s="13" t="n">
        <v>9.75</v>
      </c>
    </row>
    <row r="514" customFormat="false" ht="12.75" hidden="false" customHeight="false" outlineLevel="0" collapsed="false">
      <c r="A514" s="10" t="n">
        <v>37951</v>
      </c>
      <c r="B514" s="11" t="n">
        <v>0.53125</v>
      </c>
      <c r="C514" s="12" t="n">
        <v>34495</v>
      </c>
      <c r="D514" s="13" t="n">
        <v>9.15</v>
      </c>
    </row>
    <row r="515" customFormat="false" ht="12.75" hidden="false" customHeight="false" outlineLevel="0" collapsed="false">
      <c r="A515" s="10" t="n">
        <v>37956</v>
      </c>
      <c r="B515" s="11" t="n">
        <v>0.496527777777778</v>
      </c>
      <c r="C515" s="12" t="n">
        <v>5000</v>
      </c>
      <c r="D515" s="13" t="n">
        <v>9.1</v>
      </c>
    </row>
    <row r="516" customFormat="false" ht="12.75" hidden="false" customHeight="false" outlineLevel="0" collapsed="false">
      <c r="A516" s="10" t="n">
        <v>37971</v>
      </c>
      <c r="B516" s="11" t="n">
        <v>0.511805555555555</v>
      </c>
      <c r="C516" s="12" t="n">
        <v>69668</v>
      </c>
      <c r="D516" s="13" t="n">
        <v>8.5</v>
      </c>
    </row>
    <row r="517" customFormat="false" ht="12.75" hidden="false" customHeight="false" outlineLevel="0" collapsed="false">
      <c r="A517" s="10" t="n">
        <v>37972</v>
      </c>
      <c r="B517" s="11" t="n">
        <v>0.504166666666667</v>
      </c>
      <c r="C517" s="12" t="n">
        <v>45000</v>
      </c>
      <c r="D517" s="13" t="n">
        <v>8.63</v>
      </c>
    </row>
    <row r="518" customFormat="false" ht="12.75" hidden="false" customHeight="false" outlineLevel="0" collapsed="false">
      <c r="A518" s="10" t="n">
        <v>37973</v>
      </c>
      <c r="B518" s="11" t="n">
        <v>0.511111111111111</v>
      </c>
      <c r="C518" s="12" t="n">
        <v>375148</v>
      </c>
      <c r="D518" s="13" t="n">
        <v>8.65</v>
      </c>
    </row>
    <row r="519" customFormat="false" ht="12.75" hidden="false" customHeight="false" outlineLevel="0" collapsed="false">
      <c r="A519" s="14" t="n">
        <v>37992</v>
      </c>
      <c r="B519" s="15" t="n">
        <v>0.467361111111111</v>
      </c>
      <c r="C519" s="16" t="n">
        <v>79914</v>
      </c>
      <c r="D519" s="17" t="n">
        <v>8.65</v>
      </c>
    </row>
    <row r="520" customFormat="false" ht="12.75" hidden="false" customHeight="false" outlineLevel="0" collapsed="false">
      <c r="A520" s="14" t="n">
        <v>37994</v>
      </c>
      <c r="B520" s="15" t="n">
        <v>0.513888888888889</v>
      </c>
      <c r="C520" s="16" t="n">
        <v>193896</v>
      </c>
      <c r="D520" s="17" t="n">
        <v>8.65</v>
      </c>
    </row>
    <row r="521" customFormat="false" ht="12.75" hidden="false" customHeight="false" outlineLevel="0" collapsed="false">
      <c r="A521" s="14" t="n">
        <v>37994</v>
      </c>
      <c r="B521" s="15" t="n">
        <v>0.520138888888889</v>
      </c>
      <c r="C521" s="16" t="n">
        <v>193896</v>
      </c>
      <c r="D521" s="17" t="n">
        <v>8.65</v>
      </c>
    </row>
    <row r="522" customFormat="false" ht="12.75" hidden="false" customHeight="false" outlineLevel="0" collapsed="false">
      <c r="A522" s="14" t="n">
        <v>37998</v>
      </c>
      <c r="B522" s="15" t="n">
        <v>0.488194444444444</v>
      </c>
      <c r="C522" s="16" t="n">
        <v>172263</v>
      </c>
      <c r="D522" s="17" t="n">
        <v>8.65</v>
      </c>
    </row>
    <row r="523" customFormat="false" ht="12.75" hidden="false" customHeight="false" outlineLevel="0" collapsed="false">
      <c r="A523" s="14" t="n">
        <v>37999</v>
      </c>
      <c r="B523" s="15" t="n">
        <v>0.459722222222222</v>
      </c>
      <c r="C523" s="16" t="n">
        <v>172263</v>
      </c>
      <c r="D523" s="17" t="n">
        <v>8.65</v>
      </c>
    </row>
    <row r="524" customFormat="false" ht="12.75" hidden="false" customHeight="false" outlineLevel="0" collapsed="false">
      <c r="A524" s="14" t="n">
        <v>37999</v>
      </c>
      <c r="B524" s="15" t="n">
        <v>0.5</v>
      </c>
      <c r="C524" s="16" t="n">
        <v>500000</v>
      </c>
      <c r="D524" s="17" t="n">
        <v>8.65</v>
      </c>
    </row>
    <row r="525" customFormat="false" ht="12.75" hidden="false" customHeight="false" outlineLevel="0" collapsed="false">
      <c r="A525" s="14" t="n">
        <v>38000</v>
      </c>
      <c r="B525" s="15" t="n">
        <v>0.421527777777778</v>
      </c>
      <c r="C525" s="16" t="n">
        <v>500000</v>
      </c>
      <c r="D525" s="17" t="n">
        <v>8.65</v>
      </c>
    </row>
    <row r="526" customFormat="false" ht="12.75" hidden="false" customHeight="false" outlineLevel="0" collapsed="false">
      <c r="A526" s="14" t="n">
        <v>38000</v>
      </c>
      <c r="B526" s="15" t="n">
        <v>0.426388888888889</v>
      </c>
      <c r="C526" s="16" t="n">
        <v>280682</v>
      </c>
      <c r="D526" s="17" t="n">
        <v>8.65</v>
      </c>
    </row>
    <row r="527" customFormat="false" ht="12.75" hidden="false" customHeight="false" outlineLevel="0" collapsed="false">
      <c r="A527" s="14" t="n">
        <v>38001</v>
      </c>
      <c r="B527" s="15" t="n">
        <v>0.447222222222222</v>
      </c>
      <c r="C527" s="16" t="n">
        <v>600000</v>
      </c>
      <c r="D527" s="17" t="n">
        <v>8.65</v>
      </c>
    </row>
    <row r="528" customFormat="false" ht="12.75" hidden="false" customHeight="false" outlineLevel="0" collapsed="false">
      <c r="A528" s="14" t="n">
        <v>38006</v>
      </c>
      <c r="B528" s="15" t="n">
        <v>0.49375</v>
      </c>
      <c r="C528" s="16" t="n">
        <v>50000</v>
      </c>
      <c r="D528" s="17" t="n">
        <v>8.65</v>
      </c>
    </row>
    <row r="529" customFormat="false" ht="12.75" hidden="false" customHeight="false" outlineLevel="0" collapsed="false">
      <c r="A529" s="14" t="n">
        <v>38014</v>
      </c>
      <c r="B529" s="15" t="n">
        <v>0.472916666666667</v>
      </c>
      <c r="C529" s="16" t="n">
        <v>18600</v>
      </c>
      <c r="D529" s="17" t="n">
        <v>9</v>
      </c>
    </row>
    <row r="530" customFormat="false" ht="12.75" hidden="false" customHeight="false" outlineLevel="0" collapsed="false">
      <c r="A530" s="14" t="n">
        <v>38014</v>
      </c>
      <c r="B530" s="15" t="n">
        <v>0.472916666666667</v>
      </c>
      <c r="C530" s="16" t="n">
        <v>18600</v>
      </c>
      <c r="D530" s="17" t="n">
        <v>9</v>
      </c>
    </row>
    <row r="531" customFormat="false" ht="12.75" hidden="false" customHeight="false" outlineLevel="0" collapsed="false">
      <c r="A531" s="14" t="n">
        <v>38019</v>
      </c>
      <c r="B531" s="15" t="n">
        <v>0.493055555555556</v>
      </c>
      <c r="C531" s="16" t="n">
        <v>2204</v>
      </c>
      <c r="D531" s="17" t="n">
        <v>8.65</v>
      </c>
    </row>
    <row r="532" customFormat="false" ht="12.75" hidden="false" customHeight="false" outlineLevel="0" collapsed="false">
      <c r="A532" s="14" t="n">
        <v>38021</v>
      </c>
      <c r="B532" s="15" t="n">
        <v>0.451388888888889</v>
      </c>
      <c r="C532" s="16" t="n">
        <v>2000</v>
      </c>
      <c r="D532" s="17" t="n">
        <v>8.65</v>
      </c>
    </row>
    <row r="533" customFormat="false" ht="12.75" hidden="false" customHeight="false" outlineLevel="0" collapsed="false">
      <c r="A533" s="14" t="n">
        <v>38022</v>
      </c>
      <c r="B533" s="15" t="n">
        <v>0.481944444444444</v>
      </c>
      <c r="C533" s="16" t="n">
        <v>19491</v>
      </c>
      <c r="D533" s="17" t="n">
        <v>8.65</v>
      </c>
    </row>
    <row r="534" customFormat="false" ht="12.75" hidden="false" customHeight="false" outlineLevel="0" collapsed="false">
      <c r="A534" s="14" t="n">
        <v>38023</v>
      </c>
      <c r="B534" s="15" t="n">
        <v>0.515972222222222</v>
      </c>
      <c r="C534" s="16" t="n">
        <v>50000</v>
      </c>
      <c r="D534" s="17" t="n">
        <v>8.65</v>
      </c>
    </row>
    <row r="535" customFormat="false" ht="12.75" hidden="false" customHeight="false" outlineLevel="0" collapsed="false">
      <c r="A535" s="14" t="n">
        <v>38026</v>
      </c>
      <c r="B535" s="15" t="n">
        <v>0.543055555555555</v>
      </c>
      <c r="C535" s="16" t="n">
        <v>50000</v>
      </c>
      <c r="D535" s="17" t="n">
        <v>8.65</v>
      </c>
    </row>
    <row r="536" customFormat="false" ht="12.75" hidden="false" customHeight="false" outlineLevel="0" collapsed="false">
      <c r="A536" s="14" t="n">
        <v>38026</v>
      </c>
      <c r="B536" s="15" t="n">
        <v>0.543055555555555</v>
      </c>
      <c r="C536" s="16" t="n">
        <v>50000</v>
      </c>
      <c r="D536" s="17" t="n">
        <v>8.65</v>
      </c>
    </row>
    <row r="537" customFormat="false" ht="12.75" hidden="false" customHeight="false" outlineLevel="0" collapsed="false">
      <c r="A537" s="14" t="n">
        <v>38028</v>
      </c>
      <c r="B537" s="15" t="n">
        <v>0.4625</v>
      </c>
      <c r="C537" s="16" t="n">
        <v>750000</v>
      </c>
      <c r="D537" s="17" t="n">
        <v>8.65</v>
      </c>
    </row>
    <row r="538" customFormat="false" ht="12.75" hidden="false" customHeight="false" outlineLevel="0" collapsed="false">
      <c r="A538" s="14" t="n">
        <v>38029</v>
      </c>
      <c r="B538" s="15" t="n">
        <v>0.493055555555556</v>
      </c>
      <c r="C538" s="16" t="n">
        <v>119861</v>
      </c>
      <c r="D538" s="17" t="n">
        <v>8.65</v>
      </c>
    </row>
    <row r="539" customFormat="false" ht="12.75" hidden="false" customHeight="false" outlineLevel="0" collapsed="false">
      <c r="A539" s="14" t="n">
        <v>38029</v>
      </c>
      <c r="B539" s="15" t="n">
        <v>0.515972222222222</v>
      </c>
      <c r="C539" s="16" t="n">
        <v>132423</v>
      </c>
      <c r="D539" s="17" t="n">
        <v>8.65</v>
      </c>
    </row>
    <row r="540" customFormat="false" ht="12.75" hidden="false" customHeight="false" outlineLevel="0" collapsed="false">
      <c r="A540" s="14" t="n">
        <v>38029</v>
      </c>
      <c r="B540" s="15" t="n">
        <v>0.527083333333333</v>
      </c>
      <c r="C540" s="16" t="n">
        <v>18000</v>
      </c>
      <c r="D540" s="17" t="n">
        <v>8.65</v>
      </c>
    </row>
    <row r="541" customFormat="false" ht="12.75" hidden="false" customHeight="false" outlineLevel="0" collapsed="false">
      <c r="A541" s="14" t="n">
        <v>38037</v>
      </c>
      <c r="B541" s="15" t="n">
        <v>0.440277777777778</v>
      </c>
      <c r="C541" s="16" t="n">
        <v>30000</v>
      </c>
      <c r="D541" s="17" t="n">
        <v>8.65</v>
      </c>
    </row>
    <row r="542" customFormat="false" ht="12.75" hidden="false" customHeight="false" outlineLevel="0" collapsed="false">
      <c r="A542" s="14" t="n">
        <v>38037</v>
      </c>
      <c r="B542" s="15" t="n">
        <v>0.461111111111111</v>
      </c>
      <c r="C542" s="16" t="n">
        <v>13656</v>
      </c>
      <c r="D542" s="17" t="n">
        <v>8.65</v>
      </c>
    </row>
    <row r="543" customFormat="false" ht="12.75" hidden="false" customHeight="false" outlineLevel="0" collapsed="false">
      <c r="A543" s="14" t="n">
        <v>38037</v>
      </c>
      <c r="B543" s="15" t="n">
        <v>0.461805555555556</v>
      </c>
      <c r="C543" s="16" t="n">
        <v>2000000</v>
      </c>
      <c r="D543" s="17" t="n">
        <v>8.65</v>
      </c>
    </row>
    <row r="544" customFormat="false" ht="12.75" hidden="false" customHeight="false" outlineLevel="0" collapsed="false">
      <c r="A544" s="14" t="n">
        <v>38043</v>
      </c>
      <c r="B544" s="15" t="n">
        <v>0.480555555555556</v>
      </c>
      <c r="C544" s="16" t="n">
        <v>10000</v>
      </c>
      <c r="D544" s="17" t="n">
        <v>8.65</v>
      </c>
    </row>
    <row r="545" customFormat="false" ht="12.75" hidden="false" customHeight="false" outlineLevel="0" collapsed="false">
      <c r="A545" s="14" t="n">
        <v>38047</v>
      </c>
      <c r="B545" s="15" t="n">
        <v>0.540277777777778</v>
      </c>
      <c r="C545" s="16" t="n">
        <v>45072</v>
      </c>
      <c r="D545" s="17" t="n">
        <v>8.65</v>
      </c>
    </row>
    <row r="546" customFormat="false" ht="12.75" hidden="false" customHeight="false" outlineLevel="0" collapsed="false">
      <c r="A546" s="14" t="n">
        <v>38050</v>
      </c>
      <c r="B546" s="15" t="n">
        <v>0.49375</v>
      </c>
      <c r="C546" s="16" t="n">
        <v>500000</v>
      </c>
      <c r="D546" s="17" t="n">
        <v>8.65</v>
      </c>
    </row>
    <row r="547" customFormat="false" ht="12.75" hidden="false" customHeight="false" outlineLevel="0" collapsed="false">
      <c r="A547" s="14" t="n">
        <v>38055</v>
      </c>
      <c r="B547" s="15" t="n">
        <v>0.515972222222222</v>
      </c>
      <c r="C547" s="17" t="n">
        <v>193</v>
      </c>
      <c r="D547" s="17" t="n">
        <v>9</v>
      </c>
    </row>
    <row r="548" customFormat="false" ht="12.75" hidden="false" customHeight="false" outlineLevel="0" collapsed="false">
      <c r="A548" s="14" t="n">
        <v>38055</v>
      </c>
      <c r="B548" s="15" t="n">
        <v>0.515972222222222</v>
      </c>
      <c r="C548" s="17" t="n">
        <v>193</v>
      </c>
      <c r="D548" s="17" t="n">
        <v>9</v>
      </c>
    </row>
    <row r="549" customFormat="false" ht="12.75" hidden="false" customHeight="false" outlineLevel="0" collapsed="false">
      <c r="A549" s="14" t="n">
        <v>38061</v>
      </c>
      <c r="B549" s="15" t="n">
        <v>0.471527777777778</v>
      </c>
      <c r="C549" s="16" t="n">
        <v>1038082</v>
      </c>
      <c r="D549" s="17" t="n">
        <v>8.65</v>
      </c>
    </row>
    <row r="550" customFormat="false" ht="12.75" hidden="false" customHeight="false" outlineLevel="0" collapsed="false">
      <c r="A550" s="14" t="n">
        <v>38070</v>
      </c>
      <c r="B550" s="15" t="n">
        <v>0.452777777777778</v>
      </c>
      <c r="C550" s="16" t="n">
        <v>116000</v>
      </c>
      <c r="D550" s="17" t="n">
        <v>8.64</v>
      </c>
    </row>
    <row r="551" customFormat="false" ht="12.75" hidden="false" customHeight="false" outlineLevel="0" collapsed="false">
      <c r="A551" s="14" t="n">
        <v>38070</v>
      </c>
      <c r="B551" s="15" t="n">
        <v>0.452777777777778</v>
      </c>
      <c r="C551" s="16" t="n">
        <v>884000</v>
      </c>
      <c r="D551" s="17" t="n">
        <v>8.64</v>
      </c>
    </row>
    <row r="552" customFormat="false" ht="12.75" hidden="false" customHeight="false" outlineLevel="0" collapsed="false">
      <c r="A552" s="14" t="n">
        <v>38070</v>
      </c>
      <c r="B552" s="15" t="n">
        <v>0.453472222222222</v>
      </c>
      <c r="C552" s="16" t="n">
        <v>116000</v>
      </c>
      <c r="D552" s="17" t="n">
        <v>8.64</v>
      </c>
    </row>
    <row r="553" customFormat="false" ht="12.75" hidden="false" customHeight="false" outlineLevel="0" collapsed="false">
      <c r="A553" s="14" t="n">
        <v>38070</v>
      </c>
      <c r="B553" s="15" t="n">
        <v>0.453472222222222</v>
      </c>
      <c r="C553" s="16" t="n">
        <v>30000</v>
      </c>
      <c r="D553" s="17" t="n">
        <v>8.65</v>
      </c>
    </row>
    <row r="554" customFormat="false" ht="12.75" hidden="false" customHeight="false" outlineLevel="0" collapsed="false">
      <c r="A554" s="14" t="n">
        <v>38070</v>
      </c>
      <c r="B554" s="15" t="n">
        <v>0.525694444444444</v>
      </c>
      <c r="C554" s="16" t="n">
        <v>296210</v>
      </c>
      <c r="D554" s="17" t="n">
        <v>8.59</v>
      </c>
    </row>
    <row r="555" customFormat="false" ht="12.75" hidden="false" customHeight="false" outlineLevel="0" collapsed="false">
      <c r="A555" s="14" t="n">
        <v>38070</v>
      </c>
      <c r="B555" s="15" t="n">
        <v>0.525694444444444</v>
      </c>
      <c r="C555" s="16" t="n">
        <v>250000</v>
      </c>
      <c r="D555" s="17" t="n">
        <v>8.59</v>
      </c>
    </row>
    <row r="556" customFormat="false" ht="12.75" hidden="false" customHeight="false" outlineLevel="0" collapsed="false">
      <c r="A556" s="14" t="n">
        <v>38070</v>
      </c>
      <c r="B556" s="15" t="n">
        <v>0.526388888888889</v>
      </c>
      <c r="C556" s="16" t="n">
        <v>1000000</v>
      </c>
      <c r="D556" s="17" t="n">
        <v>8.64</v>
      </c>
    </row>
    <row r="557" customFormat="false" ht="12.75" hidden="false" customHeight="false" outlineLevel="0" collapsed="false">
      <c r="A557" s="14" t="n">
        <v>38070</v>
      </c>
      <c r="B557" s="15" t="n">
        <v>0.529166666666667</v>
      </c>
      <c r="C557" s="16" t="n">
        <v>250000</v>
      </c>
      <c r="D557" s="17" t="n">
        <v>8.64</v>
      </c>
    </row>
    <row r="558" customFormat="false" ht="12.75" hidden="false" customHeight="false" outlineLevel="0" collapsed="false">
      <c r="A558" s="14" t="n">
        <v>38071</v>
      </c>
      <c r="B558" s="15" t="n">
        <v>0.521527777777778</v>
      </c>
      <c r="C558" s="16" t="n">
        <v>1000000</v>
      </c>
      <c r="D558" s="17" t="n">
        <v>8.6</v>
      </c>
    </row>
    <row r="559" customFormat="false" ht="12.75" hidden="false" customHeight="false" outlineLevel="0" collapsed="false">
      <c r="A559" s="14" t="n">
        <v>38071</v>
      </c>
      <c r="B559" s="15" t="n">
        <v>0.538888888888889</v>
      </c>
      <c r="C559" s="16" t="n">
        <v>1000000</v>
      </c>
      <c r="D559" s="17" t="n">
        <v>8.6</v>
      </c>
    </row>
    <row r="560" customFormat="false" ht="12.75" hidden="false" customHeight="false" outlineLevel="0" collapsed="false">
      <c r="A560" s="14" t="n">
        <v>38072</v>
      </c>
      <c r="B560" s="15" t="n">
        <v>0.490277777777778</v>
      </c>
      <c r="C560" s="16" t="n">
        <v>100000</v>
      </c>
      <c r="D560" s="17" t="n">
        <v>8.61</v>
      </c>
    </row>
    <row r="561" customFormat="false" ht="12.75" hidden="false" customHeight="false" outlineLevel="0" collapsed="false">
      <c r="A561" s="14" t="n">
        <v>38072</v>
      </c>
      <c r="B561" s="15" t="n">
        <v>0.490277777777778</v>
      </c>
      <c r="C561" s="16" t="n">
        <v>200000</v>
      </c>
      <c r="D561" s="17" t="n">
        <v>8.61</v>
      </c>
    </row>
    <row r="562" customFormat="false" ht="12.75" hidden="false" customHeight="false" outlineLevel="0" collapsed="false">
      <c r="A562" s="14" t="n">
        <v>38072</v>
      </c>
      <c r="B562" s="15" t="n">
        <v>0.491666666666667</v>
      </c>
      <c r="C562" s="16" t="n">
        <v>2000000</v>
      </c>
      <c r="D562" s="17" t="n">
        <v>8.61</v>
      </c>
    </row>
    <row r="563" customFormat="false" ht="12.75" hidden="false" customHeight="false" outlineLevel="0" collapsed="false">
      <c r="A563" s="14" t="n">
        <v>38072</v>
      </c>
      <c r="B563" s="15" t="n">
        <v>0.5125</v>
      </c>
      <c r="C563" s="16" t="n">
        <v>700000</v>
      </c>
      <c r="D563" s="17" t="n">
        <v>8.61</v>
      </c>
    </row>
    <row r="564" customFormat="false" ht="12.75" hidden="false" customHeight="false" outlineLevel="0" collapsed="false">
      <c r="A564" s="14" t="n">
        <v>38075</v>
      </c>
      <c r="B564" s="15" t="n">
        <v>0.520138888888889</v>
      </c>
      <c r="C564" s="16" t="n">
        <v>26563</v>
      </c>
      <c r="D564" s="17" t="n">
        <v>8.61</v>
      </c>
    </row>
    <row r="565" customFormat="false" ht="12.75" hidden="false" customHeight="false" outlineLevel="0" collapsed="false">
      <c r="A565" s="14" t="n">
        <v>38077</v>
      </c>
      <c r="B565" s="15" t="n">
        <v>0.456944444444444</v>
      </c>
      <c r="C565" s="16" t="n">
        <v>18320</v>
      </c>
      <c r="D565" s="17" t="n">
        <v>8.61</v>
      </c>
    </row>
    <row r="566" customFormat="false" ht="12.75" hidden="false" customHeight="false" outlineLevel="0" collapsed="false">
      <c r="A566" s="14" t="n">
        <v>38077</v>
      </c>
      <c r="B566" s="15" t="n">
        <v>0.464583333333333</v>
      </c>
      <c r="C566" s="16" t="n">
        <v>1981680</v>
      </c>
      <c r="D566" s="17" t="n">
        <v>8.61</v>
      </c>
    </row>
    <row r="567" customFormat="false" ht="12.75" hidden="false" customHeight="false" outlineLevel="0" collapsed="false">
      <c r="A567" s="14" t="n">
        <v>38077</v>
      </c>
      <c r="B567" s="15" t="n">
        <v>0.473611111111111</v>
      </c>
      <c r="C567" s="16" t="n">
        <v>1000000</v>
      </c>
      <c r="D567" s="17" t="n">
        <v>8.61</v>
      </c>
    </row>
    <row r="568" customFormat="false" ht="12.75" hidden="false" customHeight="false" outlineLevel="0" collapsed="false">
      <c r="A568" s="14" t="n">
        <v>38090</v>
      </c>
      <c r="B568" s="15" t="n">
        <v>0.522916666666667</v>
      </c>
      <c r="C568" s="16" t="n">
        <v>2300</v>
      </c>
      <c r="D568" s="17" t="n">
        <v>8.61</v>
      </c>
    </row>
    <row r="569" customFormat="false" ht="12.75" hidden="false" customHeight="false" outlineLevel="0" collapsed="false">
      <c r="A569" s="14" t="n">
        <v>38090</v>
      </c>
      <c r="B569" s="15" t="n">
        <v>0.534722222222222</v>
      </c>
      <c r="C569" s="16" t="n">
        <v>275000</v>
      </c>
      <c r="D569" s="17" t="n">
        <v>8.25</v>
      </c>
    </row>
    <row r="570" customFormat="false" ht="12.75" hidden="false" customHeight="false" outlineLevel="0" collapsed="false">
      <c r="A570" s="14" t="n">
        <v>38091</v>
      </c>
      <c r="B570" s="15" t="n">
        <v>0.488888888888889</v>
      </c>
      <c r="C570" s="16" t="n">
        <v>1845380</v>
      </c>
      <c r="D570" s="17" t="n">
        <v>8.25</v>
      </c>
    </row>
    <row r="571" customFormat="false" ht="12.75" hidden="false" customHeight="false" outlineLevel="0" collapsed="false">
      <c r="A571" s="14" t="n">
        <v>38091</v>
      </c>
      <c r="B571" s="15" t="n">
        <v>0.488888888888889</v>
      </c>
      <c r="C571" s="16" t="n">
        <v>652320</v>
      </c>
      <c r="D571" s="17" t="n">
        <v>8.25</v>
      </c>
    </row>
    <row r="572" customFormat="false" ht="12.75" hidden="false" customHeight="false" outlineLevel="0" collapsed="false">
      <c r="A572" s="14" t="n">
        <v>38091</v>
      </c>
      <c r="B572" s="15" t="n">
        <v>0.489583333333333</v>
      </c>
      <c r="C572" s="16" t="n">
        <v>652320</v>
      </c>
      <c r="D572" s="17" t="n">
        <v>8.25</v>
      </c>
    </row>
    <row r="573" customFormat="false" ht="12.75" hidden="false" customHeight="false" outlineLevel="0" collapsed="false">
      <c r="A573" s="14" t="n">
        <v>38105</v>
      </c>
      <c r="B573" s="15" t="n">
        <v>0.538888888888889</v>
      </c>
      <c r="C573" s="16" t="n">
        <v>178834</v>
      </c>
      <c r="D573" s="17" t="n">
        <v>8.2</v>
      </c>
    </row>
    <row r="574" customFormat="false" ht="12.75" hidden="false" customHeight="false" outlineLevel="0" collapsed="false">
      <c r="A574" s="14" t="n">
        <v>38107</v>
      </c>
      <c r="B574" s="15" t="n">
        <v>0.457638888888889</v>
      </c>
      <c r="C574" s="16" t="n">
        <v>993339</v>
      </c>
      <c r="D574" s="17" t="n">
        <v>8.09</v>
      </c>
    </row>
    <row r="575" customFormat="false" ht="12.75" hidden="false" customHeight="false" outlineLevel="0" collapsed="false">
      <c r="A575" s="14" t="n">
        <v>38113</v>
      </c>
      <c r="B575" s="15" t="n">
        <v>0.531944444444444</v>
      </c>
      <c r="C575" s="16" t="n">
        <v>253013</v>
      </c>
      <c r="D575" s="17" t="n">
        <v>8</v>
      </c>
    </row>
    <row r="576" customFormat="false" ht="12.75" hidden="false" customHeight="false" outlineLevel="0" collapsed="false">
      <c r="A576" s="14" t="n">
        <v>38126</v>
      </c>
      <c r="B576" s="15" t="n">
        <v>0.508333333333333</v>
      </c>
      <c r="C576" s="16" t="n">
        <v>96848</v>
      </c>
      <c r="D576" s="17" t="n">
        <v>7.95</v>
      </c>
    </row>
    <row r="577" customFormat="false" ht="12.75" hidden="false" customHeight="false" outlineLevel="0" collapsed="false">
      <c r="A577" s="14" t="n">
        <v>38126</v>
      </c>
      <c r="B577" s="15" t="n">
        <v>0.508333333333333</v>
      </c>
      <c r="C577" s="16" t="n">
        <v>183234</v>
      </c>
      <c r="D577" s="17" t="n">
        <v>7.95</v>
      </c>
    </row>
    <row r="578" customFormat="false" ht="12.75" hidden="false" customHeight="false" outlineLevel="0" collapsed="false">
      <c r="A578" s="14" t="n">
        <v>38134</v>
      </c>
      <c r="B578" s="15" t="n">
        <v>0.426388888888889</v>
      </c>
      <c r="C578" s="16" t="n">
        <v>131560</v>
      </c>
      <c r="D578" s="17" t="n">
        <v>7.83</v>
      </c>
    </row>
    <row r="579" customFormat="false" ht="12.75" hidden="false" customHeight="false" outlineLevel="0" collapsed="false">
      <c r="A579" s="14" t="n">
        <v>38134</v>
      </c>
      <c r="B579" s="15" t="n">
        <v>0.426388888888889</v>
      </c>
      <c r="C579" s="16" t="n">
        <v>10000</v>
      </c>
      <c r="D579" s="17" t="n">
        <v>7.83</v>
      </c>
    </row>
    <row r="580" customFormat="false" ht="12.75" hidden="false" customHeight="false" outlineLevel="0" collapsed="false">
      <c r="A580" s="14" t="n">
        <v>38134</v>
      </c>
      <c r="B580" s="15" t="n">
        <v>0.426388888888889</v>
      </c>
      <c r="C580" s="16" t="n">
        <v>150562</v>
      </c>
      <c r="D580" s="17" t="n">
        <v>7.83</v>
      </c>
    </row>
    <row r="581" customFormat="false" ht="12.75" hidden="false" customHeight="false" outlineLevel="0" collapsed="false">
      <c r="A581" s="14" t="n">
        <v>38139</v>
      </c>
      <c r="B581" s="15" t="n">
        <v>0.420138888888889</v>
      </c>
      <c r="C581" s="16" t="n">
        <v>292122</v>
      </c>
      <c r="D581" s="17" t="n">
        <v>7.75</v>
      </c>
    </row>
    <row r="582" customFormat="false" ht="12.75" hidden="false" customHeight="false" outlineLevel="0" collapsed="false">
      <c r="A582" s="14" t="n">
        <v>38139</v>
      </c>
      <c r="B582" s="15" t="n">
        <v>0.442361111111111</v>
      </c>
      <c r="C582" s="16" t="n">
        <v>1283002</v>
      </c>
      <c r="D582" s="17" t="n">
        <v>7.8</v>
      </c>
    </row>
    <row r="583" customFormat="false" ht="12.75" hidden="false" customHeight="false" outlineLevel="0" collapsed="false">
      <c r="A583" s="14" t="n">
        <v>38140</v>
      </c>
      <c r="B583" s="15" t="n">
        <v>0.434722222222222</v>
      </c>
      <c r="C583" s="16" t="n">
        <v>1161367</v>
      </c>
      <c r="D583" s="17" t="n">
        <v>7.59</v>
      </c>
    </row>
    <row r="584" customFormat="false" ht="12.75" hidden="false" customHeight="false" outlineLevel="0" collapsed="false">
      <c r="A584" s="14" t="n">
        <v>38142</v>
      </c>
      <c r="B584" s="15" t="n">
        <v>0.536805555555556</v>
      </c>
      <c r="C584" s="16" t="n">
        <v>5000</v>
      </c>
      <c r="D584" s="17" t="n">
        <v>7.62</v>
      </c>
    </row>
    <row r="585" customFormat="false" ht="12.75" hidden="false" customHeight="false" outlineLevel="0" collapsed="false">
      <c r="A585" s="14" t="n">
        <v>38142</v>
      </c>
      <c r="B585" s="15" t="n">
        <v>0.536805555555556</v>
      </c>
      <c r="C585" s="16" t="n">
        <v>2500</v>
      </c>
      <c r="D585" s="17" t="n">
        <v>7.62</v>
      </c>
    </row>
    <row r="586" customFormat="false" ht="12.75" hidden="false" customHeight="false" outlineLevel="0" collapsed="false">
      <c r="A586" s="14" t="n">
        <v>38145</v>
      </c>
      <c r="B586" s="15" t="n">
        <v>0.495138888888889</v>
      </c>
      <c r="C586" s="16" t="n">
        <v>500000</v>
      </c>
      <c r="D586" s="17" t="n">
        <v>7.3</v>
      </c>
    </row>
    <row r="587" customFormat="false" ht="12.75" hidden="false" customHeight="false" outlineLevel="0" collapsed="false">
      <c r="A587" s="14" t="n">
        <v>38145</v>
      </c>
      <c r="B587" s="15" t="n">
        <v>0.495138888888889</v>
      </c>
      <c r="C587" s="16" t="n">
        <v>500000</v>
      </c>
      <c r="D587" s="17" t="n">
        <v>7.3</v>
      </c>
    </row>
    <row r="588" customFormat="false" ht="12.75" hidden="false" customHeight="false" outlineLevel="0" collapsed="false">
      <c r="A588" s="14" t="n">
        <v>38145</v>
      </c>
      <c r="B588" s="15" t="n">
        <v>0.504166666666667</v>
      </c>
      <c r="C588" s="16" t="n">
        <v>40425</v>
      </c>
      <c r="D588" s="17" t="n">
        <v>7</v>
      </c>
    </row>
    <row r="589" customFormat="false" ht="12.75" hidden="false" customHeight="false" outlineLevel="0" collapsed="false">
      <c r="A589" s="14" t="n">
        <v>38145</v>
      </c>
      <c r="B589" s="15" t="n">
        <v>0.504166666666667</v>
      </c>
      <c r="C589" s="16" t="n">
        <v>20000</v>
      </c>
      <c r="D589" s="17" t="n">
        <v>7</v>
      </c>
    </row>
    <row r="590" customFormat="false" ht="12.75" hidden="false" customHeight="false" outlineLevel="0" collapsed="false">
      <c r="A590" s="14" t="n">
        <v>38145</v>
      </c>
      <c r="B590" s="15" t="n">
        <v>0.504166666666667</v>
      </c>
      <c r="C590" s="16" t="n">
        <v>939575</v>
      </c>
      <c r="D590" s="17" t="n">
        <v>7</v>
      </c>
    </row>
    <row r="591" customFormat="false" ht="12.75" hidden="false" customHeight="false" outlineLevel="0" collapsed="false">
      <c r="A591" s="14" t="n">
        <v>38145</v>
      </c>
      <c r="B591" s="15" t="n">
        <v>0.505555555555556</v>
      </c>
      <c r="C591" s="16" t="n">
        <v>60425</v>
      </c>
      <c r="D591" s="17" t="n">
        <v>7</v>
      </c>
    </row>
    <row r="592" customFormat="false" ht="12.75" hidden="false" customHeight="false" outlineLevel="0" collapsed="false">
      <c r="A592" s="14" t="n">
        <v>38145</v>
      </c>
      <c r="B592" s="15" t="n">
        <v>0.509027777777778</v>
      </c>
      <c r="C592" s="16" t="n">
        <v>1000000</v>
      </c>
      <c r="D592" s="17" t="n">
        <v>7</v>
      </c>
    </row>
    <row r="593" customFormat="false" ht="12.75" hidden="false" customHeight="false" outlineLevel="0" collapsed="false">
      <c r="A593" s="14" t="n">
        <v>38145</v>
      </c>
      <c r="B593" s="15" t="n">
        <v>0.509027777777778</v>
      </c>
      <c r="C593" s="16" t="n">
        <v>29000000</v>
      </c>
      <c r="D593" s="17" t="n">
        <v>7</v>
      </c>
    </row>
    <row r="594" customFormat="false" ht="12.75" hidden="false" customHeight="false" outlineLevel="0" collapsed="false">
      <c r="A594" s="14" t="n">
        <v>38145</v>
      </c>
      <c r="B594" s="15" t="n">
        <v>0.534027777777778</v>
      </c>
      <c r="C594" s="16" t="n">
        <v>13800</v>
      </c>
      <c r="D594" s="17" t="n">
        <v>7.25</v>
      </c>
    </row>
    <row r="595" customFormat="false" ht="12.75" hidden="false" customHeight="false" outlineLevel="0" collapsed="false">
      <c r="A595" s="14" t="n">
        <v>38145</v>
      </c>
      <c r="B595" s="15" t="n">
        <v>0.541666666666667</v>
      </c>
      <c r="C595" s="16" t="n">
        <v>729858</v>
      </c>
      <c r="D595" s="17" t="n">
        <v>7.11</v>
      </c>
    </row>
    <row r="596" customFormat="false" ht="12.75" hidden="false" customHeight="false" outlineLevel="0" collapsed="false">
      <c r="A596" s="14" t="n">
        <v>38148</v>
      </c>
      <c r="B596" s="15" t="n">
        <v>0.525</v>
      </c>
      <c r="C596" s="16" t="n">
        <v>581050</v>
      </c>
      <c r="D596" s="17" t="n">
        <v>7</v>
      </c>
    </row>
    <row r="597" customFormat="false" ht="12.75" hidden="false" customHeight="false" outlineLevel="0" collapsed="false">
      <c r="A597" s="14" t="n">
        <v>38148</v>
      </c>
      <c r="B597" s="15" t="n">
        <v>0.525</v>
      </c>
      <c r="C597" s="16" t="n">
        <v>18950</v>
      </c>
      <c r="D597" s="17" t="n">
        <v>7</v>
      </c>
    </row>
    <row r="598" customFormat="false" ht="12.75" hidden="false" customHeight="false" outlineLevel="0" collapsed="false">
      <c r="A598" s="14" t="n">
        <v>38156</v>
      </c>
      <c r="B598" s="15" t="n">
        <v>0.468055555555555</v>
      </c>
      <c r="C598" s="16" t="n">
        <v>2828</v>
      </c>
      <c r="D598" s="17" t="n">
        <v>7</v>
      </c>
    </row>
    <row r="599" customFormat="false" ht="12.75" hidden="false" customHeight="false" outlineLevel="0" collapsed="false">
      <c r="A599" s="14" t="n">
        <v>38181</v>
      </c>
      <c r="B599" s="15" t="n">
        <v>0.511111111111111</v>
      </c>
      <c r="C599" s="16" t="n">
        <v>178834</v>
      </c>
      <c r="D599" s="17" t="n">
        <v>6.78</v>
      </c>
    </row>
    <row r="600" customFormat="false" ht="12.75" hidden="false" customHeight="false" outlineLevel="0" collapsed="false">
      <c r="A600" s="14" t="n">
        <v>38181</v>
      </c>
      <c r="B600" s="15" t="n">
        <v>0.511111111111111</v>
      </c>
      <c r="C600" s="16" t="n">
        <v>71166</v>
      </c>
      <c r="D600" s="17" t="n">
        <v>6.78</v>
      </c>
    </row>
    <row r="601" customFormat="false" ht="12.75" hidden="false" customHeight="false" outlineLevel="0" collapsed="false">
      <c r="A601" s="14" t="n">
        <v>38182</v>
      </c>
      <c r="B601" s="15" t="n">
        <v>0.436111111111111</v>
      </c>
      <c r="C601" s="16" t="n">
        <v>500000</v>
      </c>
      <c r="D601" s="17" t="n">
        <v>6.73</v>
      </c>
    </row>
    <row r="602" customFormat="false" ht="12.75" hidden="false" customHeight="false" outlineLevel="0" collapsed="false">
      <c r="A602" s="14" t="n">
        <v>38182</v>
      </c>
      <c r="B602" s="15" t="n">
        <v>0.452083333333333</v>
      </c>
      <c r="C602" s="16" t="n">
        <v>145000</v>
      </c>
      <c r="D602" s="17" t="n">
        <v>6.73</v>
      </c>
    </row>
    <row r="603" customFormat="false" ht="12.75" hidden="false" customHeight="false" outlineLevel="0" collapsed="false">
      <c r="A603" s="14" t="n">
        <v>38182</v>
      </c>
      <c r="B603" s="15" t="n">
        <v>0.452083333333333</v>
      </c>
      <c r="C603" s="16" t="n">
        <v>255000</v>
      </c>
      <c r="D603" s="17" t="n">
        <v>6.73</v>
      </c>
    </row>
    <row r="604" customFormat="false" ht="12.75" hidden="false" customHeight="false" outlineLevel="0" collapsed="false">
      <c r="A604" s="14" t="n">
        <v>38182</v>
      </c>
      <c r="B604" s="15" t="n">
        <v>0.499305555555555</v>
      </c>
      <c r="C604" s="16" t="n">
        <v>176692</v>
      </c>
      <c r="D604" s="17" t="n">
        <v>6.6</v>
      </c>
    </row>
    <row r="605" customFormat="false" ht="12.75" hidden="false" customHeight="false" outlineLevel="0" collapsed="false">
      <c r="A605" s="14" t="n">
        <v>38182</v>
      </c>
      <c r="B605" s="15" t="n">
        <v>0.499305555555555</v>
      </c>
      <c r="C605" s="16" t="n">
        <v>128516</v>
      </c>
      <c r="D605" s="17" t="n">
        <v>6.6</v>
      </c>
    </row>
    <row r="606" customFormat="false" ht="12.75" hidden="false" customHeight="false" outlineLevel="0" collapsed="false">
      <c r="A606" s="14" t="n">
        <v>38182</v>
      </c>
      <c r="B606" s="15" t="n">
        <v>0.503472222222222</v>
      </c>
      <c r="C606" s="16" t="n">
        <v>185000</v>
      </c>
      <c r="D606" s="17" t="n">
        <v>6.55</v>
      </c>
    </row>
    <row r="607" customFormat="false" ht="12.75" hidden="false" customHeight="false" outlineLevel="0" collapsed="false">
      <c r="A607" s="14" t="n">
        <v>38184</v>
      </c>
      <c r="B607" s="15" t="n">
        <v>0.434722222222222</v>
      </c>
      <c r="C607" s="16" t="n">
        <v>152000</v>
      </c>
      <c r="D607" s="17" t="n">
        <v>6.45</v>
      </c>
    </row>
    <row r="608" customFormat="false" ht="12.75" hidden="false" customHeight="false" outlineLevel="0" collapsed="false">
      <c r="A608" s="14" t="n">
        <v>38184</v>
      </c>
      <c r="B608" s="15" t="n">
        <v>0.513888888888889</v>
      </c>
      <c r="C608" s="16" t="n">
        <v>10000</v>
      </c>
      <c r="D608" s="17" t="n">
        <v>6.45</v>
      </c>
    </row>
    <row r="609" customFormat="false" ht="12.75" hidden="false" customHeight="false" outlineLevel="0" collapsed="false">
      <c r="A609" s="14" t="n">
        <v>38184</v>
      </c>
      <c r="B609" s="15" t="n">
        <v>0.523611111111111</v>
      </c>
      <c r="C609" s="16" t="n">
        <v>7000</v>
      </c>
      <c r="D609" s="17" t="n">
        <v>6.45</v>
      </c>
    </row>
    <row r="610" customFormat="false" ht="12.75" hidden="false" customHeight="false" outlineLevel="0" collapsed="false">
      <c r="A610" s="14" t="n">
        <v>38188</v>
      </c>
      <c r="B610" s="15" t="n">
        <v>0.440277777777778</v>
      </c>
      <c r="C610" s="16" t="n">
        <v>68000</v>
      </c>
      <c r="D610" s="17" t="n">
        <v>6.45</v>
      </c>
    </row>
    <row r="611" customFormat="false" ht="12.75" hidden="false" customHeight="false" outlineLevel="0" collapsed="false">
      <c r="A611" s="14" t="n">
        <v>38188</v>
      </c>
      <c r="B611" s="15" t="n">
        <v>0.44375</v>
      </c>
      <c r="C611" s="16" t="n">
        <v>100000</v>
      </c>
      <c r="D611" s="17" t="n">
        <v>6.4</v>
      </c>
    </row>
    <row r="612" customFormat="false" ht="12.75" hidden="false" customHeight="false" outlineLevel="0" collapsed="false">
      <c r="A612" s="14" t="n">
        <v>38188</v>
      </c>
      <c r="B612" s="15" t="n">
        <v>0.484722222222222</v>
      </c>
      <c r="C612" s="16" t="n">
        <v>500000</v>
      </c>
      <c r="D612" s="17" t="n">
        <v>6.25</v>
      </c>
    </row>
    <row r="613" customFormat="false" ht="12.75" hidden="false" customHeight="false" outlineLevel="0" collapsed="false">
      <c r="A613" s="14" t="n">
        <v>38188</v>
      </c>
      <c r="B613" s="15" t="n">
        <v>0.484722222222222</v>
      </c>
      <c r="C613" s="16" t="n">
        <v>500000</v>
      </c>
      <c r="D613" s="17" t="n">
        <v>6.25</v>
      </c>
    </row>
    <row r="614" customFormat="false" ht="12.75" hidden="false" customHeight="false" outlineLevel="0" collapsed="false">
      <c r="A614" s="14" t="n">
        <v>38188</v>
      </c>
      <c r="B614" s="15" t="n">
        <v>0.486111111111111</v>
      </c>
      <c r="C614" s="16" t="n">
        <v>13835</v>
      </c>
      <c r="D614" s="17" t="n">
        <v>6.24</v>
      </c>
    </row>
    <row r="615" customFormat="false" ht="12.75" hidden="false" customHeight="false" outlineLevel="0" collapsed="false">
      <c r="A615" s="14" t="n">
        <v>38188</v>
      </c>
      <c r="B615" s="15" t="n">
        <v>0.497222222222222</v>
      </c>
      <c r="C615" s="16" t="n">
        <v>13835</v>
      </c>
      <c r="D615" s="17" t="n">
        <v>6.24</v>
      </c>
    </row>
    <row r="616" customFormat="false" ht="12.75" hidden="false" customHeight="false" outlineLevel="0" collapsed="false">
      <c r="A616" s="14" t="n">
        <v>38188</v>
      </c>
      <c r="B616" s="15" t="n">
        <v>0.497916666666667</v>
      </c>
      <c r="C616" s="16" t="n">
        <v>68000</v>
      </c>
      <c r="D616" s="17" t="n">
        <v>6.25</v>
      </c>
    </row>
    <row r="617" customFormat="false" ht="12.75" hidden="false" customHeight="false" outlineLevel="0" collapsed="false">
      <c r="A617" s="14" t="n">
        <v>38188</v>
      </c>
      <c r="B617" s="15" t="n">
        <v>0.504861111111111</v>
      </c>
      <c r="C617" s="16" t="n">
        <v>2213</v>
      </c>
      <c r="D617" s="17" t="n">
        <v>6.25</v>
      </c>
    </row>
    <row r="618" customFormat="false" ht="12.75" hidden="false" customHeight="false" outlineLevel="0" collapsed="false">
      <c r="A618" s="14" t="n">
        <v>38189</v>
      </c>
      <c r="B618" s="15" t="n">
        <v>0.543055555555555</v>
      </c>
      <c r="C618" s="16" t="n">
        <v>500000</v>
      </c>
      <c r="D618" s="17" t="n">
        <v>6.5</v>
      </c>
    </row>
    <row r="619" customFormat="false" ht="12.75" hidden="false" customHeight="false" outlineLevel="0" collapsed="false">
      <c r="A619" s="14" t="n">
        <v>38190</v>
      </c>
      <c r="B619" s="15" t="n">
        <v>0.433333333333333</v>
      </c>
      <c r="C619" s="16" t="n">
        <v>1000000</v>
      </c>
      <c r="D619" s="17" t="n">
        <v>6.5</v>
      </c>
    </row>
    <row r="620" customFormat="false" ht="12.75" hidden="false" customHeight="false" outlineLevel="0" collapsed="false">
      <c r="A620" s="14" t="n">
        <v>38190</v>
      </c>
      <c r="B620" s="15" t="n">
        <v>0.433333333333333</v>
      </c>
      <c r="C620" s="16" t="n">
        <v>208962</v>
      </c>
      <c r="D620" s="17" t="n">
        <v>6.5</v>
      </c>
    </row>
    <row r="621" customFormat="false" ht="12.75" hidden="false" customHeight="false" outlineLevel="0" collapsed="false">
      <c r="A621" s="14" t="n">
        <v>38190</v>
      </c>
      <c r="B621" s="15" t="n">
        <v>0.535416666666667</v>
      </c>
      <c r="C621" s="16" t="n">
        <v>500000</v>
      </c>
      <c r="D621" s="17" t="n">
        <v>6.51</v>
      </c>
    </row>
    <row r="622" customFormat="false" ht="12.75" hidden="false" customHeight="false" outlineLevel="0" collapsed="false">
      <c r="A622" s="14" t="n">
        <v>38190</v>
      </c>
      <c r="B622" s="15" t="n">
        <v>0.535416666666667</v>
      </c>
      <c r="C622" s="16" t="n">
        <v>500000</v>
      </c>
      <c r="D622" s="17" t="n">
        <v>6.51</v>
      </c>
    </row>
    <row r="623" customFormat="false" ht="12.75" hidden="false" customHeight="false" outlineLevel="0" collapsed="false">
      <c r="A623" s="14" t="n">
        <v>38190</v>
      </c>
      <c r="B623" s="15" t="n">
        <v>0.535416666666667</v>
      </c>
      <c r="C623" s="16" t="n">
        <v>300000</v>
      </c>
      <c r="D623" s="17" t="n">
        <v>6.51</v>
      </c>
    </row>
    <row r="624" customFormat="false" ht="12.75" hidden="false" customHeight="false" outlineLevel="0" collapsed="false">
      <c r="A624" s="14" t="n">
        <v>38194</v>
      </c>
      <c r="B624" s="15" t="n">
        <v>0.539583333333333</v>
      </c>
      <c r="C624" s="16" t="n">
        <v>178834</v>
      </c>
      <c r="D624" s="17" t="n">
        <v>6.49</v>
      </c>
    </row>
    <row r="625" customFormat="false" ht="12.75" hidden="false" customHeight="false" outlineLevel="0" collapsed="false">
      <c r="A625" s="14" t="n">
        <v>38205</v>
      </c>
      <c r="B625" s="15" t="n">
        <v>0.451388888888889</v>
      </c>
      <c r="C625" s="16" t="n">
        <v>25000</v>
      </c>
      <c r="D625" s="17" t="n">
        <v>6.4</v>
      </c>
    </row>
    <row r="626" customFormat="false" ht="12.75" hidden="false" customHeight="false" outlineLevel="0" collapsed="false">
      <c r="A626" s="14" t="n">
        <v>38223</v>
      </c>
      <c r="B626" s="15" t="n">
        <v>0.439583333333333</v>
      </c>
      <c r="C626" s="16" t="n">
        <v>2255</v>
      </c>
      <c r="D626" s="17" t="n">
        <v>6.5</v>
      </c>
    </row>
    <row r="627" customFormat="false" ht="12.75" hidden="false" customHeight="false" outlineLevel="0" collapsed="false">
      <c r="A627" s="14" t="n">
        <v>38223</v>
      </c>
      <c r="B627" s="15" t="n">
        <v>0.447916666666667</v>
      </c>
      <c r="C627" s="16" t="n">
        <v>353000</v>
      </c>
      <c r="D627" s="17" t="n">
        <v>6.5</v>
      </c>
    </row>
    <row r="628" customFormat="false" ht="12.75" hidden="false" customHeight="false" outlineLevel="0" collapsed="false">
      <c r="A628" s="14" t="n">
        <v>38224</v>
      </c>
      <c r="B628" s="15" t="n">
        <v>0.452083333333333</v>
      </c>
      <c r="C628" s="16" t="n">
        <v>152672</v>
      </c>
      <c r="D628" s="17" t="n">
        <v>6.5</v>
      </c>
    </row>
    <row r="629" customFormat="false" ht="12.75" hidden="false" customHeight="false" outlineLevel="0" collapsed="false">
      <c r="A629" s="14" t="n">
        <v>38224</v>
      </c>
      <c r="B629" s="15" t="n">
        <v>0.530555555555556</v>
      </c>
      <c r="C629" s="16" t="n">
        <v>669792</v>
      </c>
      <c r="D629" s="17" t="n">
        <v>6.5</v>
      </c>
    </row>
    <row r="630" customFormat="false" ht="12.75" hidden="false" customHeight="false" outlineLevel="0" collapsed="false">
      <c r="A630" s="14" t="n">
        <v>38229</v>
      </c>
      <c r="B630" s="15" t="n">
        <v>0.428472222222222</v>
      </c>
      <c r="C630" s="16" t="n">
        <v>119273</v>
      </c>
      <c r="D630" s="17" t="n">
        <v>6.5</v>
      </c>
    </row>
    <row r="631" customFormat="false" ht="12.75" hidden="false" customHeight="false" outlineLevel="0" collapsed="false">
      <c r="A631" s="14" t="n">
        <v>38229</v>
      </c>
      <c r="B631" s="15" t="n">
        <v>0.45625</v>
      </c>
      <c r="C631" s="16" t="n">
        <v>100000</v>
      </c>
      <c r="D631" s="17" t="n">
        <v>6.5</v>
      </c>
    </row>
    <row r="632" customFormat="false" ht="12.75" hidden="false" customHeight="false" outlineLevel="0" collapsed="false">
      <c r="A632" s="14" t="n">
        <v>38231</v>
      </c>
      <c r="B632" s="15" t="n">
        <v>0.470138888888889</v>
      </c>
      <c r="C632" s="16" t="n">
        <v>400000</v>
      </c>
      <c r="D632" s="17" t="n">
        <v>6.5</v>
      </c>
    </row>
    <row r="633" customFormat="false" ht="12.75" hidden="false" customHeight="false" outlineLevel="0" collapsed="false">
      <c r="A633" s="14" t="n">
        <v>38231</v>
      </c>
      <c r="B633" s="15" t="n">
        <v>0.470138888888889</v>
      </c>
      <c r="C633" s="16" t="n">
        <v>100000</v>
      </c>
      <c r="D633" s="17" t="n">
        <v>6.5</v>
      </c>
    </row>
    <row r="634" customFormat="false" ht="12.75" hidden="false" customHeight="false" outlineLevel="0" collapsed="false">
      <c r="A634" s="14" t="n">
        <v>38231</v>
      </c>
      <c r="B634" s="15" t="n">
        <v>0.470833333333333</v>
      </c>
      <c r="C634" s="16" t="n">
        <v>100000</v>
      </c>
      <c r="D634" s="17" t="n">
        <v>6.5</v>
      </c>
    </row>
    <row r="635" customFormat="false" ht="12.75" hidden="false" customHeight="false" outlineLevel="0" collapsed="false">
      <c r="A635" s="14" t="n">
        <v>38231</v>
      </c>
      <c r="B635" s="15" t="n">
        <v>0.523611111111111</v>
      </c>
      <c r="C635" s="16" t="n">
        <v>500000</v>
      </c>
      <c r="D635" s="17" t="n">
        <v>6.5</v>
      </c>
    </row>
    <row r="636" customFormat="false" ht="12.75" hidden="false" customHeight="false" outlineLevel="0" collapsed="false">
      <c r="A636" s="14" t="n">
        <v>38231</v>
      </c>
      <c r="B636" s="15" t="n">
        <v>0.530555555555556</v>
      </c>
      <c r="C636" s="16" t="n">
        <v>500000</v>
      </c>
      <c r="D636" s="17" t="n">
        <v>6.5</v>
      </c>
    </row>
    <row r="637" customFormat="false" ht="12.75" hidden="false" customHeight="false" outlineLevel="0" collapsed="false">
      <c r="A637" s="14" t="n">
        <v>38233</v>
      </c>
      <c r="B637" s="15" t="n">
        <v>0.540277777777778</v>
      </c>
      <c r="C637" s="16" t="n">
        <v>250000</v>
      </c>
      <c r="D637" s="17" t="n">
        <v>6.49</v>
      </c>
    </row>
    <row r="638" customFormat="false" ht="12.75" hidden="false" customHeight="false" outlineLevel="0" collapsed="false">
      <c r="A638" s="14" t="n">
        <v>38237</v>
      </c>
      <c r="B638" s="15" t="n">
        <v>0.427777777777778</v>
      </c>
      <c r="C638" s="16" t="n">
        <v>5265</v>
      </c>
      <c r="D638" s="17" t="n">
        <v>6.47</v>
      </c>
    </row>
    <row r="639" customFormat="false" ht="12.75" hidden="false" customHeight="false" outlineLevel="0" collapsed="false">
      <c r="A639" s="14" t="n">
        <v>38237</v>
      </c>
      <c r="B639" s="15" t="n">
        <v>0.427777777777778</v>
      </c>
      <c r="C639" s="16" t="n">
        <v>20000</v>
      </c>
      <c r="D639" s="17" t="n">
        <v>6.47</v>
      </c>
    </row>
    <row r="640" customFormat="false" ht="12.75" hidden="false" customHeight="false" outlineLevel="0" collapsed="false">
      <c r="A640" s="14" t="n">
        <v>38237</v>
      </c>
      <c r="B640" s="15" t="n">
        <v>0.427777777777778</v>
      </c>
      <c r="C640" s="16" t="n">
        <v>974735</v>
      </c>
      <c r="D640" s="17" t="n">
        <v>6.47</v>
      </c>
    </row>
    <row r="641" customFormat="false" ht="12.75" hidden="false" customHeight="false" outlineLevel="0" collapsed="false">
      <c r="A641" s="14" t="n">
        <v>38243</v>
      </c>
      <c r="B641" s="15" t="n">
        <v>0.46875</v>
      </c>
      <c r="C641" s="16" t="n">
        <v>101232</v>
      </c>
      <c r="D641" s="17" t="n">
        <v>6.47</v>
      </c>
    </row>
    <row r="642" customFormat="false" ht="12.75" hidden="false" customHeight="false" outlineLevel="0" collapsed="false">
      <c r="A642" s="14" t="n">
        <v>38246</v>
      </c>
      <c r="B642" s="15" t="n">
        <v>0.523611111111111</v>
      </c>
      <c r="C642" s="16" t="n">
        <v>4522</v>
      </c>
      <c r="D642" s="17" t="n">
        <v>6.47</v>
      </c>
    </row>
    <row r="643" customFormat="false" ht="12.75" hidden="false" customHeight="false" outlineLevel="0" collapsed="false">
      <c r="A643" s="14" t="n">
        <v>38258</v>
      </c>
      <c r="B643" s="15" t="n">
        <v>0.457638888888889</v>
      </c>
      <c r="C643" s="16" t="n">
        <v>37200</v>
      </c>
      <c r="D643" s="17" t="n">
        <v>6.47</v>
      </c>
    </row>
    <row r="644" customFormat="false" ht="12.75" hidden="false" customHeight="false" outlineLevel="0" collapsed="false">
      <c r="A644" s="14" t="n">
        <v>38258</v>
      </c>
      <c r="B644" s="15" t="n">
        <v>0.46875</v>
      </c>
      <c r="C644" s="16" t="n">
        <v>45478</v>
      </c>
      <c r="D644" s="17" t="n">
        <v>6.4</v>
      </c>
    </row>
    <row r="645" customFormat="false" ht="12.75" hidden="false" customHeight="false" outlineLevel="0" collapsed="false">
      <c r="A645" s="14" t="n">
        <v>38258</v>
      </c>
      <c r="B645" s="15" t="n">
        <v>0.476388888888889</v>
      </c>
      <c r="C645" s="16" t="n">
        <v>500000</v>
      </c>
      <c r="D645" s="17" t="n">
        <v>6.4</v>
      </c>
    </row>
    <row r="646" customFormat="false" ht="12.75" hidden="false" customHeight="false" outlineLevel="0" collapsed="false">
      <c r="A646" s="14" t="n">
        <v>38258</v>
      </c>
      <c r="B646" s="15" t="n">
        <v>0.48125</v>
      </c>
      <c r="C646" s="16" t="n">
        <v>500000</v>
      </c>
      <c r="D646" s="17" t="n">
        <v>6.4</v>
      </c>
    </row>
    <row r="647" customFormat="false" ht="12.75" hidden="false" customHeight="false" outlineLevel="0" collapsed="false">
      <c r="A647" s="14" t="n">
        <v>38258</v>
      </c>
      <c r="B647" s="15" t="n">
        <v>0.48125</v>
      </c>
      <c r="C647" s="16" t="n">
        <v>511072</v>
      </c>
      <c r="D647" s="17" t="n">
        <v>6.4</v>
      </c>
    </row>
    <row r="648" customFormat="false" ht="12.75" hidden="false" customHeight="false" outlineLevel="0" collapsed="false">
      <c r="A648" s="14" t="n">
        <v>38273</v>
      </c>
      <c r="B648" s="15" t="n">
        <v>0.488888888888889</v>
      </c>
      <c r="C648" s="16" t="n">
        <v>169983</v>
      </c>
      <c r="D648" s="17" t="n">
        <v>6.4</v>
      </c>
    </row>
    <row r="649" customFormat="false" ht="12.75" hidden="false" customHeight="false" outlineLevel="0" collapsed="false">
      <c r="A649" s="14" t="n">
        <v>38274</v>
      </c>
      <c r="B649" s="15" t="n">
        <v>0.531944444444444</v>
      </c>
      <c r="C649" s="16" t="n">
        <v>29721</v>
      </c>
      <c r="D649" s="17" t="n">
        <v>6.25</v>
      </c>
    </row>
    <row r="650" customFormat="false" ht="12.75" hidden="false" customHeight="false" outlineLevel="0" collapsed="false">
      <c r="A650" s="14" t="n">
        <v>38282</v>
      </c>
      <c r="B650" s="15" t="n">
        <v>0.495833333333333</v>
      </c>
      <c r="C650" s="16" t="n">
        <v>80000</v>
      </c>
      <c r="D650" s="17" t="n">
        <v>6.3</v>
      </c>
    </row>
    <row r="651" customFormat="false" ht="12.75" hidden="false" customHeight="false" outlineLevel="0" collapsed="false">
      <c r="A651" s="14" t="n">
        <v>38282</v>
      </c>
      <c r="B651" s="15" t="n">
        <v>0.495833333333333</v>
      </c>
      <c r="C651" s="16" t="n">
        <v>125000</v>
      </c>
      <c r="D651" s="17" t="n">
        <v>6.3</v>
      </c>
    </row>
    <row r="652" customFormat="false" ht="12.75" hidden="false" customHeight="false" outlineLevel="0" collapsed="false">
      <c r="A652" s="14" t="n">
        <v>38282</v>
      </c>
      <c r="B652" s="15" t="n">
        <v>0.513194444444444</v>
      </c>
      <c r="C652" s="16" t="n">
        <v>145503</v>
      </c>
      <c r="D652" s="17" t="n">
        <v>6.25</v>
      </c>
    </row>
    <row r="653" customFormat="false" ht="12.75" hidden="false" customHeight="false" outlineLevel="0" collapsed="false">
      <c r="A653" s="14" t="n">
        <v>38286</v>
      </c>
      <c r="B653" s="15" t="n">
        <v>0.497916666666667</v>
      </c>
      <c r="C653" s="16" t="n">
        <v>3000</v>
      </c>
      <c r="D653" s="17" t="n">
        <v>6</v>
      </c>
    </row>
    <row r="654" customFormat="false" ht="12.75" hidden="false" customHeight="false" outlineLevel="0" collapsed="false">
      <c r="A654" s="14" t="n">
        <v>38289</v>
      </c>
      <c r="B654" s="15" t="n">
        <v>0.540972222222222</v>
      </c>
      <c r="C654" s="16" t="n">
        <v>66468</v>
      </c>
      <c r="D654" s="17" t="n">
        <v>6.13</v>
      </c>
    </row>
    <row r="655" customFormat="false" ht="12.75" hidden="false" customHeight="false" outlineLevel="0" collapsed="false">
      <c r="A655" s="14" t="n">
        <v>38293</v>
      </c>
      <c r="B655" s="15" t="n">
        <v>0.511805555555555</v>
      </c>
      <c r="C655" s="16" t="n">
        <v>380532</v>
      </c>
      <c r="D655" s="17" t="n">
        <v>6.13</v>
      </c>
    </row>
    <row r="656" customFormat="false" ht="12.75" hidden="false" customHeight="false" outlineLevel="0" collapsed="false">
      <c r="A656" s="14" t="n">
        <v>38293</v>
      </c>
      <c r="B656" s="15" t="n">
        <v>0.511805555555555</v>
      </c>
      <c r="C656" s="16" t="n">
        <v>119468</v>
      </c>
      <c r="D656" s="17" t="n">
        <v>6.13</v>
      </c>
    </row>
    <row r="657" customFormat="false" ht="12.75" hidden="false" customHeight="false" outlineLevel="0" collapsed="false">
      <c r="A657" s="14" t="n">
        <v>38294</v>
      </c>
      <c r="B657" s="15" t="n">
        <v>0.515972222222222</v>
      </c>
      <c r="C657" s="17" t="n">
        <v>600</v>
      </c>
      <c r="D657" s="17" t="n">
        <v>6.13</v>
      </c>
    </row>
    <row r="658" customFormat="false" ht="12.75" hidden="false" customHeight="false" outlineLevel="0" collapsed="false">
      <c r="A658" s="14" t="n">
        <v>38303</v>
      </c>
      <c r="B658" s="15" t="n">
        <v>0.48125</v>
      </c>
      <c r="C658" s="16" t="n">
        <v>1550</v>
      </c>
      <c r="D658" s="17" t="n">
        <v>6.5</v>
      </c>
    </row>
    <row r="659" customFormat="false" ht="12.75" hidden="false" customHeight="false" outlineLevel="0" collapsed="false">
      <c r="A659" s="14" t="n">
        <v>38307</v>
      </c>
      <c r="B659" s="15" t="n">
        <v>0.453472222222222</v>
      </c>
      <c r="C659" s="16" t="n">
        <v>27284</v>
      </c>
      <c r="D659" s="17" t="n">
        <v>6.15</v>
      </c>
    </row>
    <row r="660" customFormat="false" ht="12.75" hidden="false" customHeight="false" outlineLevel="0" collapsed="false">
      <c r="A660" s="14" t="n">
        <v>38314</v>
      </c>
      <c r="B660" s="15" t="n">
        <v>0.472222222222222</v>
      </c>
      <c r="C660" s="16" t="n">
        <v>72150</v>
      </c>
      <c r="D660" s="17" t="n">
        <v>6.45</v>
      </c>
    </row>
    <row r="661" customFormat="false" ht="12.75" hidden="false" customHeight="false" outlineLevel="0" collapsed="false">
      <c r="A661" s="14" t="n">
        <v>38322</v>
      </c>
      <c r="B661" s="15" t="n">
        <v>0.486805555555556</v>
      </c>
      <c r="C661" s="16" t="n">
        <v>2000</v>
      </c>
      <c r="D661" s="17" t="n">
        <v>6.75</v>
      </c>
    </row>
    <row r="662" customFormat="false" ht="12.75" hidden="false" customHeight="false" outlineLevel="0" collapsed="false">
      <c r="A662" s="14" t="n">
        <v>38322</v>
      </c>
      <c r="B662" s="15" t="n">
        <v>0.527083333333333</v>
      </c>
      <c r="C662" s="16" t="n">
        <v>50000</v>
      </c>
      <c r="D662" s="17" t="n">
        <v>6.5</v>
      </c>
    </row>
    <row r="663" customFormat="false" ht="12.75" hidden="false" customHeight="false" outlineLevel="0" collapsed="false">
      <c r="A663" s="14" t="n">
        <v>38322</v>
      </c>
      <c r="B663" s="15" t="n">
        <v>0.527083333333333</v>
      </c>
      <c r="C663" s="16" t="n">
        <v>450000</v>
      </c>
      <c r="D663" s="17" t="n">
        <v>6.5</v>
      </c>
    </row>
    <row r="664" customFormat="false" ht="12.75" hidden="false" customHeight="false" outlineLevel="0" collapsed="false">
      <c r="A664" s="14" t="n">
        <v>38322</v>
      </c>
      <c r="B664" s="15" t="n">
        <v>0.527777777777778</v>
      </c>
      <c r="C664" s="16" t="n">
        <v>50000</v>
      </c>
      <c r="D664" s="17" t="n">
        <v>6.5</v>
      </c>
    </row>
    <row r="665" customFormat="false" ht="12.75" hidden="false" customHeight="false" outlineLevel="0" collapsed="false">
      <c r="A665" s="14" t="n">
        <v>38323</v>
      </c>
      <c r="B665" s="15" t="n">
        <v>0.475694444444444</v>
      </c>
      <c r="C665" s="16" t="n">
        <v>3000000</v>
      </c>
      <c r="D665" s="17" t="n">
        <v>6.5</v>
      </c>
    </row>
    <row r="666" customFormat="false" ht="12.75" hidden="false" customHeight="false" outlineLevel="0" collapsed="false">
      <c r="A666" s="14" t="n">
        <v>38323</v>
      </c>
      <c r="B666" s="15" t="n">
        <v>0.478472222222222</v>
      </c>
      <c r="C666" s="16" t="n">
        <v>500000</v>
      </c>
      <c r="D666" s="17" t="n">
        <v>6.5</v>
      </c>
    </row>
    <row r="667" customFormat="false" ht="12.75" hidden="false" customHeight="false" outlineLevel="0" collapsed="false">
      <c r="A667" s="14" t="n">
        <v>38323</v>
      </c>
      <c r="B667" s="15" t="n">
        <v>0.517361111111111</v>
      </c>
      <c r="C667" s="16" t="n">
        <v>500000</v>
      </c>
      <c r="D667" s="17" t="n">
        <v>6.5</v>
      </c>
    </row>
    <row r="668" customFormat="false" ht="12.75" hidden="false" customHeight="false" outlineLevel="0" collapsed="false">
      <c r="A668" s="14" t="n">
        <v>38324</v>
      </c>
      <c r="B668" s="15" t="n">
        <v>0.5125</v>
      </c>
      <c r="C668" s="16" t="n">
        <v>500000</v>
      </c>
      <c r="D668" s="17" t="n">
        <v>6.5</v>
      </c>
    </row>
    <row r="669" customFormat="false" ht="12.75" hidden="false" customHeight="false" outlineLevel="0" collapsed="false">
      <c r="A669" s="14" t="n">
        <v>38324</v>
      </c>
      <c r="B669" s="15" t="n">
        <v>0.514583333333333</v>
      </c>
      <c r="C669" s="16" t="n">
        <v>590737</v>
      </c>
      <c r="D669" s="17" t="n">
        <v>6.5</v>
      </c>
    </row>
    <row r="670" customFormat="false" ht="12.75" hidden="false" customHeight="false" outlineLevel="0" collapsed="false">
      <c r="A670" s="14" t="n">
        <v>38324</v>
      </c>
      <c r="B670" s="15" t="n">
        <v>0.524305555555556</v>
      </c>
      <c r="C670" s="16" t="n">
        <v>590737</v>
      </c>
      <c r="D670" s="17" t="n">
        <v>6.5</v>
      </c>
    </row>
    <row r="671" customFormat="false" ht="12.75" hidden="false" customHeight="false" outlineLevel="0" collapsed="false">
      <c r="A671" s="14" t="n">
        <v>38331</v>
      </c>
      <c r="B671" s="15" t="n">
        <v>0.463888888888889</v>
      </c>
      <c r="C671" s="16" t="n">
        <v>282891</v>
      </c>
      <c r="D671" s="17" t="n">
        <v>6.5</v>
      </c>
    </row>
    <row r="672" customFormat="false" ht="12.75" hidden="false" customHeight="false" outlineLevel="0" collapsed="false">
      <c r="A672" s="14" t="n">
        <v>38331</v>
      </c>
      <c r="B672" s="15" t="n">
        <v>0.479861111111111</v>
      </c>
      <c r="C672" s="16" t="n">
        <v>78550</v>
      </c>
      <c r="D672" s="17" t="n">
        <v>6.5</v>
      </c>
    </row>
    <row r="673" customFormat="false" ht="12.75" hidden="false" customHeight="false" outlineLevel="0" collapsed="false">
      <c r="A673" s="14" t="n">
        <v>38331</v>
      </c>
      <c r="B673" s="15" t="n">
        <v>0.479861111111111</v>
      </c>
      <c r="C673" s="16" t="n">
        <v>1221450</v>
      </c>
      <c r="D673" s="17" t="n">
        <v>6.5</v>
      </c>
    </row>
    <row r="674" customFormat="false" ht="12.75" hidden="false" customHeight="false" outlineLevel="0" collapsed="false">
      <c r="A674" s="14" t="n">
        <v>38331</v>
      </c>
      <c r="B674" s="15" t="n">
        <v>0.479861111111111</v>
      </c>
      <c r="C674" s="16" t="n">
        <v>700000</v>
      </c>
      <c r="D674" s="17" t="n">
        <v>6.5</v>
      </c>
    </row>
    <row r="675" customFormat="false" ht="12.75" hidden="false" customHeight="false" outlineLevel="0" collapsed="false">
      <c r="A675" s="14" t="n">
        <v>38331</v>
      </c>
      <c r="B675" s="15" t="n">
        <v>0.501388888888889</v>
      </c>
      <c r="C675" s="16" t="n">
        <v>3000000</v>
      </c>
      <c r="D675" s="17" t="n">
        <v>6.5</v>
      </c>
    </row>
    <row r="676" customFormat="false" ht="12.75" hidden="false" customHeight="false" outlineLevel="0" collapsed="false">
      <c r="A676" s="14" t="n">
        <v>38335</v>
      </c>
      <c r="B676" s="15" t="n">
        <v>0.531944444444444</v>
      </c>
      <c r="C676" s="16" t="n">
        <v>1000000</v>
      </c>
      <c r="D676" s="17" t="n">
        <v>6.5</v>
      </c>
    </row>
    <row r="677" customFormat="false" ht="12.75" hidden="false" customHeight="false" outlineLevel="0" collapsed="false">
      <c r="A677" s="14" t="n">
        <v>38335</v>
      </c>
      <c r="B677" s="15" t="n">
        <v>0.5375</v>
      </c>
      <c r="C677" s="16" t="n">
        <v>1000000</v>
      </c>
      <c r="D677" s="17" t="n">
        <v>6.5</v>
      </c>
    </row>
    <row r="678" customFormat="false" ht="12.75" hidden="false" customHeight="false" outlineLevel="0" collapsed="false">
      <c r="A678" s="14" t="n">
        <v>38336</v>
      </c>
      <c r="B678" s="15" t="n">
        <v>0.434027777777778</v>
      </c>
      <c r="C678" s="16" t="n">
        <v>500000</v>
      </c>
      <c r="D678" s="17" t="n">
        <v>6.5</v>
      </c>
    </row>
    <row r="679" customFormat="false" ht="12.75" hidden="false" customHeight="false" outlineLevel="0" collapsed="false">
      <c r="A679" s="14" t="n">
        <v>38336</v>
      </c>
      <c r="B679" s="15" t="n">
        <v>0.452083333333333</v>
      </c>
      <c r="C679" s="16" t="n">
        <v>1000000</v>
      </c>
      <c r="D679" s="17" t="n">
        <v>6.5</v>
      </c>
    </row>
    <row r="680" customFormat="false" ht="12.75" hidden="false" customHeight="false" outlineLevel="0" collapsed="false">
      <c r="A680" s="14" t="n">
        <v>38336</v>
      </c>
      <c r="B680" s="15" t="n">
        <v>0.524305555555556</v>
      </c>
      <c r="C680" s="16" t="n">
        <v>500000</v>
      </c>
      <c r="D680" s="17" t="n">
        <v>6.5</v>
      </c>
    </row>
    <row r="681" customFormat="false" ht="12.75" hidden="false" customHeight="false" outlineLevel="0" collapsed="false">
      <c r="A681" s="14" t="n">
        <v>38337</v>
      </c>
      <c r="B681" s="15" t="n">
        <v>0.45</v>
      </c>
      <c r="C681" s="16" t="n">
        <v>500000</v>
      </c>
      <c r="D681" s="17" t="n">
        <v>6.5</v>
      </c>
    </row>
    <row r="682" customFormat="false" ht="12.75" hidden="false" customHeight="false" outlineLevel="0" collapsed="false">
      <c r="A682" s="14" t="n">
        <v>38337</v>
      </c>
      <c r="B682" s="15" t="n">
        <v>0.488194444444444</v>
      </c>
      <c r="C682" s="16" t="n">
        <v>500000</v>
      </c>
      <c r="D682" s="17" t="n">
        <v>6.5</v>
      </c>
    </row>
    <row r="683" customFormat="false" ht="12.75" hidden="false" customHeight="false" outlineLevel="0" collapsed="false">
      <c r="A683" s="14" t="n">
        <v>38337</v>
      </c>
      <c r="B683" s="15" t="n">
        <v>0.498611111111111</v>
      </c>
      <c r="C683" s="16" t="n">
        <v>500000</v>
      </c>
      <c r="D683" s="17" t="n">
        <v>6.5</v>
      </c>
    </row>
    <row r="684" customFormat="false" ht="12.75" hidden="false" customHeight="false" outlineLevel="0" collapsed="false">
      <c r="A684" s="14" t="n">
        <v>38337</v>
      </c>
      <c r="B684" s="15" t="n">
        <v>0.520833333333333</v>
      </c>
      <c r="C684" s="16" t="n">
        <v>400000</v>
      </c>
      <c r="D684" s="17" t="n">
        <v>6.5</v>
      </c>
    </row>
    <row r="685" customFormat="false" ht="12.75" hidden="false" customHeight="false" outlineLevel="0" collapsed="false">
      <c r="A685" s="14" t="n">
        <v>38343</v>
      </c>
      <c r="B685" s="15" t="n">
        <v>0.440972222222222</v>
      </c>
      <c r="C685" s="16" t="n">
        <v>189571</v>
      </c>
      <c r="D685" s="17" t="n">
        <v>6.5</v>
      </c>
    </row>
    <row r="686" customFormat="false" ht="12.75" hidden="false" customHeight="false" outlineLevel="0" collapsed="false">
      <c r="A686" s="14" t="n">
        <v>38343</v>
      </c>
      <c r="B686" s="15" t="n">
        <v>0.440972222222222</v>
      </c>
      <c r="C686" s="16" t="n">
        <v>810429</v>
      </c>
      <c r="D686" s="17" t="n">
        <v>6.5</v>
      </c>
    </row>
    <row r="687" customFormat="false" ht="12.75" hidden="false" customHeight="false" outlineLevel="0" collapsed="false">
      <c r="A687" s="14" t="n">
        <v>38343</v>
      </c>
      <c r="B687" s="15" t="n">
        <v>0.444444444444444</v>
      </c>
      <c r="C687" s="16" t="n">
        <v>1046041</v>
      </c>
      <c r="D687" s="17" t="n">
        <v>6.5</v>
      </c>
    </row>
    <row r="688" customFormat="false" ht="12.75" hidden="false" customHeight="false" outlineLevel="0" collapsed="false">
      <c r="A688" s="14" t="n">
        <v>38343</v>
      </c>
      <c r="B688" s="15" t="n">
        <v>0.446527777777778</v>
      </c>
      <c r="C688" s="16" t="n">
        <v>371450</v>
      </c>
      <c r="D688" s="17" t="n">
        <v>6.5</v>
      </c>
    </row>
    <row r="689" customFormat="false" ht="12.75" hidden="false" customHeight="false" outlineLevel="0" collapsed="false">
      <c r="A689" s="14" t="n">
        <v>38343</v>
      </c>
      <c r="B689" s="15" t="n">
        <v>0.446527777777778</v>
      </c>
      <c r="C689" s="16" t="n">
        <v>2000000</v>
      </c>
      <c r="D689" s="17" t="n">
        <v>6.5</v>
      </c>
    </row>
    <row r="690" customFormat="false" ht="12.75" hidden="false" customHeight="false" outlineLevel="0" collapsed="false">
      <c r="A690" s="18" t="n">
        <v>38359</v>
      </c>
      <c r="B690" s="19" t="n">
        <v>0.444444444444444</v>
      </c>
      <c r="C690" s="20" t="n">
        <v>9182</v>
      </c>
      <c r="D690" s="21" t="n">
        <v>6.3</v>
      </c>
    </row>
    <row r="691" customFormat="false" ht="12.75" hidden="false" customHeight="false" outlineLevel="0" collapsed="false">
      <c r="A691" s="18" t="n">
        <v>38363</v>
      </c>
      <c r="B691" s="19" t="n">
        <v>0.523611111111111</v>
      </c>
      <c r="C691" s="20" t="n">
        <v>3500000</v>
      </c>
      <c r="D691" s="21" t="n">
        <v>6.65</v>
      </c>
    </row>
    <row r="692" customFormat="false" ht="12.75" hidden="false" customHeight="false" outlineLevel="0" collapsed="false">
      <c r="A692" s="18" t="n">
        <v>38364</v>
      </c>
      <c r="B692" s="19" t="n">
        <v>0.521527777777778</v>
      </c>
      <c r="C692" s="20" t="n">
        <v>117776</v>
      </c>
      <c r="D692" s="21" t="n">
        <v>6.75</v>
      </c>
    </row>
    <row r="693" customFormat="false" ht="12.75" hidden="false" customHeight="false" outlineLevel="0" collapsed="false">
      <c r="A693" s="18" t="n">
        <v>38364</v>
      </c>
      <c r="B693" s="19" t="n">
        <v>0.526388888888889</v>
      </c>
      <c r="C693" s="20" t="n">
        <v>1800000</v>
      </c>
      <c r="D693" s="21" t="n">
        <v>6.75</v>
      </c>
    </row>
    <row r="694" customFormat="false" ht="12.75" hidden="false" customHeight="false" outlineLevel="0" collapsed="false">
      <c r="A694" s="18" t="n">
        <v>38371</v>
      </c>
      <c r="B694" s="19" t="n">
        <v>0.530555555555556</v>
      </c>
      <c r="C694" s="20" t="n">
        <v>13158</v>
      </c>
      <c r="D694" s="21" t="n">
        <v>6.5</v>
      </c>
    </row>
    <row r="695" customFormat="false" ht="12.75" hidden="false" customHeight="false" outlineLevel="0" collapsed="false">
      <c r="A695" s="18" t="n">
        <v>38386</v>
      </c>
      <c r="B695" s="19" t="n">
        <v>0.466666666666667</v>
      </c>
      <c r="C695" s="20" t="n">
        <v>715604</v>
      </c>
      <c r="D695" s="21" t="n">
        <v>7</v>
      </c>
    </row>
    <row r="696" customFormat="false" ht="12.75" hidden="false" customHeight="false" outlineLevel="0" collapsed="false">
      <c r="A696" s="18" t="n">
        <v>38397</v>
      </c>
      <c r="B696" s="19" t="n">
        <v>0.5</v>
      </c>
      <c r="C696" s="20" t="n">
        <v>1676335</v>
      </c>
      <c r="D696" s="21" t="n">
        <v>7</v>
      </c>
    </row>
    <row r="697" customFormat="false" ht="12.75" hidden="false" customHeight="false" outlineLevel="0" collapsed="false">
      <c r="A697" s="18" t="n">
        <v>38397</v>
      </c>
      <c r="B697" s="19" t="n">
        <v>0.502083333333333</v>
      </c>
      <c r="C697" s="20" t="n">
        <v>43026</v>
      </c>
      <c r="D697" s="21" t="n">
        <v>7</v>
      </c>
    </row>
    <row r="698" customFormat="false" ht="12.75" hidden="false" customHeight="false" outlineLevel="0" collapsed="false">
      <c r="A698" s="18" t="n">
        <v>38399</v>
      </c>
      <c r="B698" s="19" t="n">
        <v>0.488888888888889</v>
      </c>
      <c r="C698" s="20" t="n">
        <v>150000</v>
      </c>
      <c r="D698" s="21" t="n">
        <v>7.01</v>
      </c>
    </row>
    <row r="699" customFormat="false" ht="12.75" hidden="false" customHeight="false" outlineLevel="0" collapsed="false">
      <c r="A699" s="18" t="n">
        <v>38399</v>
      </c>
      <c r="B699" s="19" t="n">
        <v>0.488888888888889</v>
      </c>
      <c r="C699" s="20" t="n">
        <v>500000</v>
      </c>
      <c r="D699" s="21" t="n">
        <v>7.01</v>
      </c>
    </row>
    <row r="700" customFormat="false" ht="12.75" hidden="false" customHeight="false" outlineLevel="0" collapsed="false">
      <c r="A700" s="18" t="n">
        <v>38405</v>
      </c>
      <c r="B700" s="19" t="n">
        <v>0.534027777777778</v>
      </c>
      <c r="C700" s="20" t="n">
        <v>1000000</v>
      </c>
      <c r="D700" s="21" t="n">
        <v>7.15</v>
      </c>
    </row>
    <row r="701" customFormat="false" ht="12.75" hidden="false" customHeight="false" outlineLevel="0" collapsed="false">
      <c r="A701" s="18" t="n">
        <v>38412</v>
      </c>
      <c r="B701" s="19" t="n">
        <v>0.520138888888889</v>
      </c>
      <c r="C701" s="20" t="n">
        <v>28834</v>
      </c>
      <c r="D701" s="21" t="n">
        <v>7.06</v>
      </c>
    </row>
    <row r="702" customFormat="false" ht="12.75" hidden="false" customHeight="false" outlineLevel="0" collapsed="false">
      <c r="A702" s="18" t="n">
        <v>38422</v>
      </c>
      <c r="B702" s="19" t="n">
        <v>0.509722222222222</v>
      </c>
      <c r="C702" s="20" t="n">
        <v>63300</v>
      </c>
      <c r="D702" s="21" t="n">
        <v>7.5</v>
      </c>
    </row>
    <row r="703" customFormat="false" ht="12.75" hidden="false" customHeight="false" outlineLevel="0" collapsed="false">
      <c r="A703" s="18" t="n">
        <v>38426</v>
      </c>
      <c r="B703" s="19" t="n">
        <v>0.428472222222222</v>
      </c>
      <c r="C703" s="20" t="n">
        <v>2908378</v>
      </c>
      <c r="D703" s="21" t="n">
        <v>7.25</v>
      </c>
    </row>
    <row r="704" customFormat="false" ht="12.75" hidden="false" customHeight="false" outlineLevel="0" collapsed="false">
      <c r="A704" s="18" t="n">
        <v>38428</v>
      </c>
      <c r="B704" s="19" t="n">
        <v>0.422916666666667</v>
      </c>
      <c r="C704" s="20" t="n">
        <v>10000</v>
      </c>
      <c r="D704" s="21" t="n">
        <v>7.2</v>
      </c>
    </row>
    <row r="705" customFormat="false" ht="12.75" hidden="false" customHeight="false" outlineLevel="0" collapsed="false">
      <c r="A705" s="18" t="n">
        <v>38428</v>
      </c>
      <c r="B705" s="19" t="n">
        <v>0.427083333333333</v>
      </c>
      <c r="C705" s="20" t="n">
        <v>2361450</v>
      </c>
      <c r="D705" s="21" t="n">
        <v>7.27</v>
      </c>
    </row>
    <row r="706" customFormat="false" ht="12.75" hidden="false" customHeight="false" outlineLevel="0" collapsed="false">
      <c r="A706" s="18" t="n">
        <v>38428</v>
      </c>
      <c r="B706" s="19" t="n">
        <v>0.45</v>
      </c>
      <c r="C706" s="20" t="n">
        <v>2361450</v>
      </c>
      <c r="D706" s="21" t="n">
        <v>7.29</v>
      </c>
    </row>
    <row r="707" customFormat="false" ht="12.75" hidden="false" customHeight="false" outlineLevel="0" collapsed="false">
      <c r="A707" s="18" t="n">
        <v>38439</v>
      </c>
      <c r="B707" s="19" t="n">
        <v>0.471527777777778</v>
      </c>
      <c r="C707" s="20" t="n">
        <v>2000000</v>
      </c>
      <c r="D707" s="21" t="n">
        <v>7.25</v>
      </c>
    </row>
    <row r="708" customFormat="false" ht="12.75" hidden="false" customHeight="false" outlineLevel="0" collapsed="false">
      <c r="A708" s="18" t="n">
        <v>38439</v>
      </c>
      <c r="B708" s="19" t="n">
        <v>0.503472222222222</v>
      </c>
      <c r="C708" s="20" t="n">
        <v>3000000</v>
      </c>
      <c r="D708" s="21" t="n">
        <v>7.25</v>
      </c>
    </row>
    <row r="709" customFormat="false" ht="12.75" hidden="false" customHeight="false" outlineLevel="0" collapsed="false">
      <c r="A709" s="18" t="n">
        <v>38440</v>
      </c>
      <c r="B709" s="19" t="n">
        <v>0.472222222222222</v>
      </c>
      <c r="C709" s="20" t="n">
        <v>2000000</v>
      </c>
      <c r="D709" s="21" t="n">
        <v>7.25</v>
      </c>
    </row>
    <row r="710" customFormat="false" ht="12.75" hidden="false" customHeight="false" outlineLevel="0" collapsed="false">
      <c r="A710" s="18" t="n">
        <v>38447</v>
      </c>
      <c r="B710" s="19" t="n">
        <v>0.519444444444444</v>
      </c>
      <c r="C710" s="20" t="n">
        <v>1000000</v>
      </c>
      <c r="D710" s="21" t="n">
        <v>8</v>
      </c>
    </row>
    <row r="711" customFormat="false" ht="12.75" hidden="false" customHeight="false" outlineLevel="0" collapsed="false">
      <c r="A711" s="18" t="n">
        <v>38462</v>
      </c>
      <c r="B711" s="19" t="n">
        <v>0.45625</v>
      </c>
      <c r="C711" s="20" t="n">
        <v>11097</v>
      </c>
      <c r="D711" s="21" t="n">
        <v>7</v>
      </c>
    </row>
    <row r="712" customFormat="false" ht="12.75" hidden="false" customHeight="false" outlineLevel="0" collapsed="false">
      <c r="A712" s="18" t="n">
        <v>38464</v>
      </c>
      <c r="B712" s="19" t="n">
        <v>0.452777777777778</v>
      </c>
      <c r="C712" s="20" t="n">
        <v>3486929</v>
      </c>
      <c r="D712" s="21" t="n">
        <v>7.45</v>
      </c>
    </row>
    <row r="713" customFormat="false" ht="12.75" hidden="false" customHeight="false" outlineLevel="0" collapsed="false">
      <c r="A713" s="18" t="n">
        <v>38464</v>
      </c>
      <c r="B713" s="19" t="n">
        <v>0.452777777777778</v>
      </c>
      <c r="C713" s="21" t="n">
        <v>50</v>
      </c>
      <c r="D713" s="21" t="n">
        <v>7.45</v>
      </c>
    </row>
    <row r="714" customFormat="false" ht="12.75" hidden="false" customHeight="false" outlineLevel="0" collapsed="false">
      <c r="A714" s="18" t="n">
        <v>38464</v>
      </c>
      <c r="B714" s="19" t="n">
        <v>0.452777777777778</v>
      </c>
      <c r="C714" s="20" t="n">
        <v>513021</v>
      </c>
      <c r="D714" s="21" t="n">
        <v>7.45</v>
      </c>
    </row>
    <row r="715" customFormat="false" ht="12.75" hidden="false" customHeight="false" outlineLevel="0" collapsed="false">
      <c r="A715" s="18" t="n">
        <v>38464</v>
      </c>
      <c r="B715" s="19" t="n">
        <v>0.452777777777778</v>
      </c>
      <c r="C715" s="20" t="n">
        <v>3486979</v>
      </c>
      <c r="D715" s="21" t="n">
        <v>7.5</v>
      </c>
    </row>
    <row r="716" customFormat="false" ht="12.75" hidden="false" customHeight="false" outlineLevel="0" collapsed="false">
      <c r="A716" s="18" t="n">
        <v>38464</v>
      </c>
      <c r="B716" s="19" t="n">
        <v>0.468055555555555</v>
      </c>
      <c r="C716" s="20" t="n">
        <v>150000</v>
      </c>
      <c r="D716" s="21" t="n">
        <v>7.75</v>
      </c>
    </row>
    <row r="717" customFormat="false" ht="12.75" hidden="false" customHeight="false" outlineLevel="0" collapsed="false">
      <c r="A717" s="18" t="n">
        <v>38464</v>
      </c>
      <c r="B717" s="19" t="n">
        <v>0.525</v>
      </c>
      <c r="C717" s="20" t="n">
        <v>3888617</v>
      </c>
      <c r="D717" s="21" t="n">
        <v>7.5</v>
      </c>
    </row>
    <row r="718" customFormat="false" ht="12.75" hidden="false" customHeight="false" outlineLevel="0" collapsed="false">
      <c r="A718" s="18" t="n">
        <v>38464</v>
      </c>
      <c r="B718" s="19" t="n">
        <v>0.525694444444444</v>
      </c>
      <c r="C718" s="20" t="n">
        <v>200000</v>
      </c>
      <c r="D718" s="21" t="n">
        <v>7.45</v>
      </c>
    </row>
    <row r="719" customFormat="false" ht="12.75" hidden="false" customHeight="false" outlineLevel="0" collapsed="false">
      <c r="A719" s="18" t="n">
        <v>38467</v>
      </c>
      <c r="B719" s="19" t="n">
        <v>0.436805555555555</v>
      </c>
      <c r="C719" s="20" t="n">
        <v>16710</v>
      </c>
      <c r="D719" s="21" t="n">
        <v>7.5</v>
      </c>
    </row>
    <row r="720" customFormat="false" ht="12.75" hidden="false" customHeight="false" outlineLevel="0" collapsed="false">
      <c r="A720" s="18" t="n">
        <v>38467</v>
      </c>
      <c r="B720" s="19" t="n">
        <v>0.438194444444444</v>
      </c>
      <c r="C720" s="20" t="n">
        <v>2000000</v>
      </c>
      <c r="D720" s="21" t="n">
        <v>7.5</v>
      </c>
    </row>
    <row r="721" customFormat="false" ht="12.75" hidden="false" customHeight="false" outlineLevel="0" collapsed="false">
      <c r="A721" s="18" t="n">
        <v>38467</v>
      </c>
      <c r="B721" s="19" t="n">
        <v>0.5</v>
      </c>
      <c r="C721" s="20" t="n">
        <v>2094994</v>
      </c>
      <c r="D721" s="21" t="n">
        <v>7.49</v>
      </c>
    </row>
    <row r="722" customFormat="false" ht="12.75" hidden="false" customHeight="false" outlineLevel="0" collapsed="false">
      <c r="A722" s="18" t="n">
        <v>38467</v>
      </c>
      <c r="B722" s="19" t="n">
        <v>0.500694444444444</v>
      </c>
      <c r="C722" s="20" t="n">
        <v>8634689</v>
      </c>
      <c r="D722" s="21" t="n">
        <v>7.5</v>
      </c>
    </row>
    <row r="723" customFormat="false" ht="12.75" hidden="false" customHeight="false" outlineLevel="0" collapsed="false">
      <c r="A723" s="18" t="n">
        <v>38468</v>
      </c>
      <c r="B723" s="19" t="n">
        <v>0.481944444444444</v>
      </c>
      <c r="C723" s="20" t="n">
        <v>31816</v>
      </c>
      <c r="D723" s="21" t="n">
        <v>7.49</v>
      </c>
    </row>
    <row r="724" customFormat="false" ht="12.75" hidden="false" customHeight="false" outlineLevel="0" collapsed="false">
      <c r="A724" s="18" t="n">
        <v>38468</v>
      </c>
      <c r="B724" s="19" t="n">
        <v>0.481944444444444</v>
      </c>
      <c r="C724" s="20" t="n">
        <v>33000</v>
      </c>
      <c r="D724" s="21" t="n">
        <v>7.49</v>
      </c>
    </row>
    <row r="725" customFormat="false" ht="12.75" hidden="false" customHeight="false" outlineLevel="0" collapsed="false">
      <c r="A725" s="18" t="n">
        <v>38468</v>
      </c>
      <c r="B725" s="19" t="n">
        <v>0.483333333333333</v>
      </c>
      <c r="C725" s="20" t="n">
        <v>31816</v>
      </c>
      <c r="D725" s="21" t="n">
        <v>7.5</v>
      </c>
    </row>
    <row r="726" customFormat="false" ht="12.75" hidden="false" customHeight="false" outlineLevel="0" collapsed="false">
      <c r="A726" s="18" t="n">
        <v>38468</v>
      </c>
      <c r="B726" s="19" t="n">
        <v>0.483333333333333</v>
      </c>
      <c r="C726" s="20" t="n">
        <v>1000000</v>
      </c>
      <c r="D726" s="21" t="n">
        <v>7.5</v>
      </c>
    </row>
    <row r="727" customFormat="false" ht="12.75" hidden="false" customHeight="false" outlineLevel="0" collapsed="false">
      <c r="A727" s="18" t="n">
        <v>38468</v>
      </c>
      <c r="B727" s="19" t="n">
        <v>0.483333333333333</v>
      </c>
      <c r="C727" s="20" t="n">
        <v>4000000</v>
      </c>
      <c r="D727" s="21" t="n">
        <v>7.5</v>
      </c>
    </row>
    <row r="728" customFormat="false" ht="12.75" hidden="false" customHeight="false" outlineLevel="0" collapsed="false">
      <c r="A728" s="18" t="n">
        <v>38468</v>
      </c>
      <c r="B728" s="19" t="n">
        <v>0.502083333333333</v>
      </c>
      <c r="C728" s="20" t="n">
        <v>1765</v>
      </c>
      <c r="D728" s="21" t="n">
        <v>7.5</v>
      </c>
    </row>
    <row r="729" customFormat="false" ht="12.75" hidden="false" customHeight="false" outlineLevel="0" collapsed="false">
      <c r="A729" s="18" t="n">
        <v>38468</v>
      </c>
      <c r="B729" s="19" t="n">
        <v>0.535416666666667</v>
      </c>
      <c r="C729" s="20" t="n">
        <v>133419</v>
      </c>
      <c r="D729" s="21" t="n">
        <v>7.5</v>
      </c>
    </row>
    <row r="730" customFormat="false" ht="12.75" hidden="false" customHeight="false" outlineLevel="0" collapsed="false">
      <c r="A730" s="18" t="n">
        <v>38477</v>
      </c>
      <c r="B730" s="19" t="n">
        <v>0.522222222222222</v>
      </c>
      <c r="C730" s="20" t="n">
        <v>109764</v>
      </c>
      <c r="D730" s="21" t="n">
        <v>7.25</v>
      </c>
    </row>
    <row r="731" customFormat="false" ht="12.75" hidden="false" customHeight="false" outlineLevel="0" collapsed="false">
      <c r="A731" s="18" t="n">
        <v>38477</v>
      </c>
      <c r="B731" s="19" t="n">
        <v>0.525694444444444</v>
      </c>
      <c r="C731" s="20" t="n">
        <v>300000</v>
      </c>
      <c r="D731" s="21" t="n">
        <v>7.25</v>
      </c>
    </row>
    <row r="732" customFormat="false" ht="12.75" hidden="false" customHeight="false" outlineLevel="0" collapsed="false">
      <c r="A732" s="18" t="n">
        <v>38477</v>
      </c>
      <c r="B732" s="19" t="n">
        <v>0.529861111111111</v>
      </c>
      <c r="C732" s="20" t="n">
        <v>90236</v>
      </c>
      <c r="D732" s="21" t="n">
        <v>7.25</v>
      </c>
    </row>
    <row r="733" customFormat="false" ht="12.75" hidden="false" customHeight="false" outlineLevel="0" collapsed="false">
      <c r="A733" s="18" t="n">
        <v>38482</v>
      </c>
      <c r="B733" s="19" t="n">
        <v>0.527083333333333</v>
      </c>
      <c r="C733" s="20" t="n">
        <v>10000</v>
      </c>
      <c r="D733" s="21" t="n">
        <v>7.25</v>
      </c>
    </row>
    <row r="734" customFormat="false" ht="12.75" hidden="false" customHeight="false" outlineLevel="0" collapsed="false">
      <c r="A734" s="18" t="n">
        <v>38482</v>
      </c>
      <c r="B734" s="19" t="n">
        <v>0.531944444444444</v>
      </c>
      <c r="C734" s="20" t="n">
        <v>99762</v>
      </c>
      <c r="D734" s="21" t="n">
        <v>7</v>
      </c>
    </row>
    <row r="735" customFormat="false" ht="12.75" hidden="false" customHeight="false" outlineLevel="0" collapsed="false">
      <c r="A735" s="18" t="n">
        <v>38483</v>
      </c>
      <c r="B735" s="19" t="n">
        <v>0.44375</v>
      </c>
      <c r="C735" s="20" t="n">
        <v>50000</v>
      </c>
      <c r="D735" s="21" t="n">
        <v>7</v>
      </c>
    </row>
    <row r="736" customFormat="false" ht="12.75" hidden="false" customHeight="false" outlineLevel="0" collapsed="false">
      <c r="A736" s="18" t="n">
        <v>38484</v>
      </c>
      <c r="B736" s="19" t="n">
        <v>0.491666666666667</v>
      </c>
      <c r="C736" s="20" t="n">
        <v>12000</v>
      </c>
      <c r="D736" s="21" t="n">
        <v>7</v>
      </c>
    </row>
    <row r="737" customFormat="false" ht="12.75" hidden="false" customHeight="false" outlineLevel="0" collapsed="false">
      <c r="A737" s="18" t="n">
        <v>38506</v>
      </c>
      <c r="B737" s="19" t="n">
        <v>0.54375</v>
      </c>
      <c r="C737" s="20" t="n">
        <v>108097</v>
      </c>
      <c r="D737" s="21" t="n">
        <v>6.75</v>
      </c>
    </row>
    <row r="738" customFormat="false" ht="12.75" hidden="false" customHeight="false" outlineLevel="0" collapsed="false">
      <c r="A738" s="18" t="n">
        <v>38513</v>
      </c>
      <c r="B738" s="19" t="n">
        <v>0.436805555555555</v>
      </c>
      <c r="C738" s="20" t="n">
        <v>138593</v>
      </c>
      <c r="D738" s="21" t="n">
        <v>6.75</v>
      </c>
    </row>
    <row r="739" customFormat="false" ht="12.75" hidden="false" customHeight="false" outlineLevel="0" collapsed="false">
      <c r="A739" s="18" t="n">
        <v>38513</v>
      </c>
      <c r="B739" s="19" t="n">
        <v>0.495833333333333</v>
      </c>
      <c r="C739" s="20" t="n">
        <v>2061407</v>
      </c>
      <c r="D739" s="21" t="n">
        <v>6.75</v>
      </c>
    </row>
    <row r="740" customFormat="false" ht="12.75" hidden="false" customHeight="false" outlineLevel="0" collapsed="false">
      <c r="A740" s="18" t="n">
        <v>38513</v>
      </c>
      <c r="B740" s="19" t="n">
        <v>0.502777777777778</v>
      </c>
      <c r="C740" s="20" t="n">
        <v>814086</v>
      </c>
      <c r="D740" s="21" t="n">
        <v>6.75</v>
      </c>
    </row>
    <row r="741" customFormat="false" ht="12.75" hidden="false" customHeight="false" outlineLevel="0" collapsed="false">
      <c r="A741" s="18" t="n">
        <v>38513</v>
      </c>
      <c r="B741" s="19" t="n">
        <v>0.504861111111111</v>
      </c>
      <c r="C741" s="20" t="n">
        <v>1624507</v>
      </c>
      <c r="D741" s="21" t="n">
        <v>6.75</v>
      </c>
    </row>
    <row r="742" customFormat="false" ht="12.75" hidden="false" customHeight="false" outlineLevel="0" collapsed="false">
      <c r="A742" s="18" t="n">
        <v>38525</v>
      </c>
      <c r="B742" s="19" t="n">
        <v>0.45625</v>
      </c>
      <c r="C742" s="20" t="n">
        <v>12000</v>
      </c>
      <c r="D742" s="21" t="n">
        <v>6.75</v>
      </c>
    </row>
    <row r="743" customFormat="false" ht="12.75" hidden="false" customHeight="false" outlineLevel="0" collapsed="false">
      <c r="A743" s="18" t="n">
        <v>38525</v>
      </c>
      <c r="B743" s="19" t="n">
        <v>0.461805555555556</v>
      </c>
      <c r="C743" s="20" t="n">
        <v>37786</v>
      </c>
      <c r="D743" s="21" t="n">
        <v>6.45</v>
      </c>
    </row>
    <row r="744" customFormat="false" ht="12.75" hidden="false" customHeight="false" outlineLevel="0" collapsed="false">
      <c r="A744" s="18" t="n">
        <v>38525</v>
      </c>
      <c r="B744" s="19" t="n">
        <v>0.535416666666667</v>
      </c>
      <c r="C744" s="20" t="n">
        <v>390000</v>
      </c>
      <c r="D744" s="21" t="n">
        <v>6.45</v>
      </c>
    </row>
    <row r="745" customFormat="false" ht="12.75" hidden="false" customHeight="false" outlineLevel="0" collapsed="false">
      <c r="A745" s="18" t="n">
        <v>38525</v>
      </c>
      <c r="B745" s="19" t="n">
        <v>0.535416666666667</v>
      </c>
      <c r="C745" s="20" t="n">
        <v>962214</v>
      </c>
      <c r="D745" s="21" t="n">
        <v>6.45</v>
      </c>
    </row>
    <row r="746" customFormat="false" ht="12.75" hidden="false" customHeight="false" outlineLevel="0" collapsed="false">
      <c r="A746" s="18" t="n">
        <v>38527</v>
      </c>
      <c r="B746" s="19" t="n">
        <v>0.490277777777778</v>
      </c>
      <c r="C746" s="20" t="n">
        <v>76398</v>
      </c>
      <c r="D746" s="21" t="n">
        <v>6.45</v>
      </c>
    </row>
    <row r="747" customFormat="false" ht="12.75" hidden="false" customHeight="false" outlineLevel="0" collapsed="false">
      <c r="A747" s="18" t="n">
        <v>38527</v>
      </c>
      <c r="B747" s="19" t="n">
        <v>0.532638888888889</v>
      </c>
      <c r="C747" s="20" t="n">
        <v>81602</v>
      </c>
      <c r="D747" s="21" t="n">
        <v>6.5</v>
      </c>
    </row>
    <row r="748" customFormat="false" ht="12.75" hidden="false" customHeight="false" outlineLevel="0" collapsed="false">
      <c r="A748" s="18" t="n">
        <v>38538</v>
      </c>
      <c r="B748" s="19" t="n">
        <v>0.503472222222222</v>
      </c>
      <c r="C748" s="20" t="n">
        <v>3500000</v>
      </c>
      <c r="D748" s="21" t="n">
        <v>6.3</v>
      </c>
    </row>
    <row r="749" customFormat="false" ht="12.75" hidden="false" customHeight="false" outlineLevel="0" collapsed="false">
      <c r="A749" s="18" t="n">
        <v>38551</v>
      </c>
      <c r="B749" s="19" t="n">
        <v>0.486805555555556</v>
      </c>
      <c r="C749" s="20" t="n">
        <v>1092740</v>
      </c>
      <c r="D749" s="21" t="n">
        <v>6.32</v>
      </c>
    </row>
    <row r="750" customFormat="false" ht="12.75" hidden="false" customHeight="false" outlineLevel="0" collapsed="false">
      <c r="A750" s="18" t="n">
        <v>38551</v>
      </c>
      <c r="B750" s="19" t="n">
        <v>0.486805555555556</v>
      </c>
      <c r="C750" s="20" t="n">
        <v>932740</v>
      </c>
      <c r="D750" s="21" t="n">
        <v>6.31</v>
      </c>
    </row>
    <row r="751" customFormat="false" ht="12.75" hidden="false" customHeight="false" outlineLevel="0" collapsed="false">
      <c r="A751" s="18" t="n">
        <v>38551</v>
      </c>
      <c r="B751" s="19" t="n">
        <v>0.486805555555556</v>
      </c>
      <c r="C751" s="20" t="n">
        <v>407260</v>
      </c>
      <c r="D751" s="21" t="n">
        <v>6.32</v>
      </c>
    </row>
    <row r="752" customFormat="false" ht="12.75" hidden="false" customHeight="false" outlineLevel="0" collapsed="false">
      <c r="A752" s="18" t="n">
        <v>38551</v>
      </c>
      <c r="B752" s="19" t="n">
        <v>0.486805555555556</v>
      </c>
      <c r="C752" s="20" t="n">
        <v>160000</v>
      </c>
      <c r="D752" s="21" t="n">
        <v>6.32</v>
      </c>
    </row>
    <row r="753" customFormat="false" ht="12.75" hidden="false" customHeight="false" outlineLevel="0" collapsed="false">
      <c r="A753" s="18" t="n">
        <v>38551</v>
      </c>
      <c r="B753" s="19" t="n">
        <v>0.497222222222222</v>
      </c>
      <c r="C753" s="20" t="n">
        <v>160000</v>
      </c>
      <c r="D753" s="21" t="n">
        <v>6.33</v>
      </c>
    </row>
    <row r="754" customFormat="false" ht="12.75" hidden="false" customHeight="false" outlineLevel="0" collapsed="false">
      <c r="A754" s="18" t="n">
        <v>38551</v>
      </c>
      <c r="B754" s="19" t="n">
        <v>0.504166666666667</v>
      </c>
      <c r="C754" s="20" t="n">
        <v>160000</v>
      </c>
      <c r="D754" s="21" t="n">
        <v>6.32</v>
      </c>
    </row>
    <row r="755" customFormat="false" ht="12.75" hidden="false" customHeight="false" outlineLevel="0" collapsed="false">
      <c r="A755" s="18" t="n">
        <v>38551</v>
      </c>
      <c r="B755" s="19" t="n">
        <v>0.504861111111111</v>
      </c>
      <c r="C755" s="20" t="n">
        <v>1082824</v>
      </c>
      <c r="D755" s="21" t="n">
        <v>6.32</v>
      </c>
    </row>
    <row r="756" customFormat="false" ht="12.75" hidden="false" customHeight="false" outlineLevel="0" collapsed="false">
      <c r="A756" s="18" t="n">
        <v>38552</v>
      </c>
      <c r="B756" s="19" t="n">
        <v>0.534027777777778</v>
      </c>
      <c r="C756" s="20" t="n">
        <v>17787</v>
      </c>
      <c r="D756" s="21" t="n">
        <v>6.5</v>
      </c>
    </row>
    <row r="757" customFormat="false" ht="12.75" hidden="false" customHeight="false" outlineLevel="0" collapsed="false">
      <c r="A757" s="18" t="n">
        <v>38567</v>
      </c>
      <c r="B757" s="19" t="n">
        <v>0.434722222222222</v>
      </c>
      <c r="C757" s="20" t="n">
        <v>201751</v>
      </c>
      <c r="D757" s="21" t="n">
        <v>6.3</v>
      </c>
    </row>
    <row r="758" customFormat="false" ht="12.75" hidden="false" customHeight="false" outlineLevel="0" collapsed="false">
      <c r="A758" s="18" t="n">
        <v>38567</v>
      </c>
      <c r="B758" s="19" t="n">
        <v>0.434722222222222</v>
      </c>
      <c r="C758" s="20" t="n">
        <v>13986</v>
      </c>
      <c r="D758" s="21" t="n">
        <v>6.3</v>
      </c>
    </row>
    <row r="759" customFormat="false" ht="12.75" hidden="false" customHeight="false" outlineLevel="0" collapsed="false">
      <c r="A759" s="18" t="n">
        <v>38586</v>
      </c>
      <c r="B759" s="19" t="n">
        <v>0.496527777777778</v>
      </c>
      <c r="C759" s="20" t="n">
        <v>100000</v>
      </c>
      <c r="D759" s="21" t="n">
        <v>6.32</v>
      </c>
    </row>
    <row r="760" customFormat="false" ht="12.75" hidden="false" customHeight="false" outlineLevel="0" collapsed="false">
      <c r="A760" s="18" t="n">
        <v>38586</v>
      </c>
      <c r="B760" s="19" t="n">
        <v>0.5</v>
      </c>
      <c r="C760" s="20" t="n">
        <v>2078250</v>
      </c>
      <c r="D760" s="21" t="n">
        <v>6.35</v>
      </c>
    </row>
    <row r="761" customFormat="false" ht="12.75" hidden="false" customHeight="false" outlineLevel="0" collapsed="false">
      <c r="A761" s="18" t="n">
        <v>38608</v>
      </c>
      <c r="B761" s="19" t="n">
        <v>0.436805555555555</v>
      </c>
      <c r="C761" s="20" t="n">
        <v>344591</v>
      </c>
      <c r="D761" s="21" t="n">
        <v>6.5</v>
      </c>
    </row>
    <row r="762" customFormat="false" ht="12.75" hidden="false" customHeight="false" outlineLevel="0" collapsed="false">
      <c r="A762" s="18" t="n">
        <v>38611</v>
      </c>
      <c r="B762" s="19" t="n">
        <v>0.507638888888889</v>
      </c>
      <c r="C762" s="20" t="n">
        <v>416332</v>
      </c>
      <c r="D762" s="21" t="n">
        <v>6.65</v>
      </c>
    </row>
    <row r="763" customFormat="false" ht="12.75" hidden="false" customHeight="false" outlineLevel="0" collapsed="false">
      <c r="A763" s="18" t="n">
        <v>38624</v>
      </c>
      <c r="B763" s="19" t="n">
        <v>0.425694444444444</v>
      </c>
      <c r="C763" s="20" t="n">
        <v>100000</v>
      </c>
      <c r="D763" s="21" t="n">
        <v>6.9</v>
      </c>
    </row>
    <row r="764" customFormat="false" ht="12.75" hidden="false" customHeight="false" outlineLevel="0" collapsed="false">
      <c r="A764" s="18" t="n">
        <v>38624</v>
      </c>
      <c r="B764" s="19" t="n">
        <v>0.440972222222222</v>
      </c>
      <c r="C764" s="20" t="n">
        <v>15118</v>
      </c>
      <c r="D764" s="21" t="n">
        <v>7.15</v>
      </c>
    </row>
    <row r="765" customFormat="false" ht="12.75" hidden="false" customHeight="false" outlineLevel="0" collapsed="false">
      <c r="A765" s="18" t="n">
        <v>38625</v>
      </c>
      <c r="B765" s="19" t="n">
        <v>0.434027777777778</v>
      </c>
      <c r="C765" s="20" t="n">
        <v>517337</v>
      </c>
      <c r="D765" s="21" t="n">
        <v>7.15</v>
      </c>
    </row>
    <row r="766" customFormat="false" ht="12.75" hidden="false" customHeight="false" outlineLevel="0" collapsed="false">
      <c r="A766" s="18" t="n">
        <v>38625</v>
      </c>
      <c r="B766" s="19" t="n">
        <v>0.434027777777778</v>
      </c>
      <c r="C766" s="20" t="n">
        <v>500000</v>
      </c>
      <c r="D766" s="21" t="n">
        <v>7.15</v>
      </c>
    </row>
    <row r="767" customFormat="false" ht="12.75" hidden="false" customHeight="false" outlineLevel="0" collapsed="false">
      <c r="A767" s="18" t="n">
        <v>38625</v>
      </c>
      <c r="B767" s="19" t="n">
        <v>0.457638888888889</v>
      </c>
      <c r="C767" s="20" t="n">
        <v>7000000</v>
      </c>
      <c r="D767" s="21" t="n">
        <v>7.15</v>
      </c>
    </row>
    <row r="768" customFormat="false" ht="12.75" hidden="false" customHeight="false" outlineLevel="0" collapsed="false">
      <c r="A768" s="18" t="n">
        <v>38628</v>
      </c>
      <c r="B768" s="19" t="n">
        <v>0.465972222222222</v>
      </c>
      <c r="C768" s="20" t="n">
        <v>49299</v>
      </c>
      <c r="D768" s="21" t="n">
        <v>7</v>
      </c>
    </row>
    <row r="769" customFormat="false" ht="12.75" hidden="false" customHeight="false" outlineLevel="0" collapsed="false">
      <c r="A769" s="18" t="n">
        <v>38636</v>
      </c>
      <c r="B769" s="19" t="n">
        <v>0.424305555555556</v>
      </c>
      <c r="C769" s="20" t="n">
        <v>2500000</v>
      </c>
      <c r="D769" s="21" t="n">
        <v>7.15</v>
      </c>
    </row>
    <row r="770" customFormat="false" ht="12.75" hidden="false" customHeight="false" outlineLevel="0" collapsed="false">
      <c r="A770" s="18" t="n">
        <v>38636</v>
      </c>
      <c r="B770" s="19" t="n">
        <v>0.427083333333333</v>
      </c>
      <c r="C770" s="20" t="n">
        <v>2000000</v>
      </c>
      <c r="D770" s="21" t="n">
        <v>7.15</v>
      </c>
    </row>
    <row r="771" customFormat="false" ht="12.75" hidden="false" customHeight="false" outlineLevel="0" collapsed="false">
      <c r="A771" s="18" t="n">
        <v>38636</v>
      </c>
      <c r="B771" s="19" t="n">
        <v>0.43125</v>
      </c>
      <c r="C771" s="20" t="n">
        <v>4500000</v>
      </c>
      <c r="D771" s="21" t="n">
        <v>7.15</v>
      </c>
    </row>
    <row r="772" customFormat="false" ht="12.75" hidden="false" customHeight="false" outlineLevel="0" collapsed="false">
      <c r="A772" s="18" t="n">
        <v>38636</v>
      </c>
      <c r="B772" s="19" t="n">
        <v>0.438888888888889</v>
      </c>
      <c r="C772" s="20" t="n">
        <v>8939589</v>
      </c>
      <c r="D772" s="21" t="n">
        <v>7.15</v>
      </c>
    </row>
    <row r="773" customFormat="false" ht="12.75" hidden="false" customHeight="false" outlineLevel="0" collapsed="false">
      <c r="A773" s="18" t="n">
        <v>38636</v>
      </c>
      <c r="B773" s="19" t="n">
        <v>0.445833333333333</v>
      </c>
      <c r="C773" s="20" t="n">
        <v>100000</v>
      </c>
      <c r="D773" s="21" t="n">
        <v>7.15</v>
      </c>
    </row>
    <row r="774" customFormat="false" ht="12.75" hidden="false" customHeight="false" outlineLevel="0" collapsed="false">
      <c r="A774" s="18" t="n">
        <v>38653</v>
      </c>
      <c r="B774" s="19" t="n">
        <v>0.496527777777778</v>
      </c>
      <c r="C774" s="20" t="n">
        <v>2882804</v>
      </c>
      <c r="D774" s="21" t="n">
        <v>7.5</v>
      </c>
    </row>
    <row r="775" customFormat="false" ht="12.75" hidden="false" customHeight="false" outlineLevel="0" collapsed="false">
      <c r="A775" s="18" t="n">
        <v>38658</v>
      </c>
      <c r="B775" s="19" t="n">
        <v>0.432638888888889</v>
      </c>
      <c r="C775" s="21" t="n">
        <v>37</v>
      </c>
      <c r="D775" s="21" t="n">
        <v>7.5</v>
      </c>
    </row>
    <row r="776" customFormat="false" ht="12.75" hidden="false" customHeight="false" outlineLevel="0" collapsed="false">
      <c r="A776" s="18" t="n">
        <v>38658</v>
      </c>
      <c r="B776" s="19" t="n">
        <v>0.432638888888889</v>
      </c>
      <c r="C776" s="20" t="n">
        <v>66853</v>
      </c>
      <c r="D776" s="21" t="n">
        <v>7.5</v>
      </c>
    </row>
    <row r="777" customFormat="false" ht="12.75" hidden="false" customHeight="false" outlineLevel="0" collapsed="false">
      <c r="A777" s="18" t="n">
        <v>38666</v>
      </c>
      <c r="B777" s="19" t="n">
        <v>0.515277777777778</v>
      </c>
      <c r="C777" s="20" t="n">
        <v>138593</v>
      </c>
      <c r="D777" s="21" t="n">
        <v>7.5</v>
      </c>
    </row>
    <row r="778" customFormat="false" ht="12.75" hidden="false" customHeight="false" outlineLevel="0" collapsed="false">
      <c r="A778" s="18" t="n">
        <v>38673</v>
      </c>
      <c r="B778" s="19" t="n">
        <v>0.431944444444444</v>
      </c>
      <c r="C778" s="20" t="n">
        <v>283698</v>
      </c>
      <c r="D778" s="21" t="n">
        <v>8.02</v>
      </c>
    </row>
    <row r="779" customFormat="false" ht="12.75" hidden="false" customHeight="false" outlineLevel="0" collapsed="false">
      <c r="A779" s="18" t="n">
        <v>38673</v>
      </c>
      <c r="B779" s="19" t="n">
        <v>0.431944444444444</v>
      </c>
      <c r="C779" s="20" t="n">
        <v>508550</v>
      </c>
      <c r="D779" s="21" t="n">
        <v>8.02</v>
      </c>
    </row>
    <row r="780" customFormat="false" ht="12.75" hidden="false" customHeight="false" outlineLevel="0" collapsed="false">
      <c r="A780" s="18" t="n">
        <v>38694</v>
      </c>
      <c r="B780" s="19" t="n">
        <v>0.420138888888889</v>
      </c>
      <c r="C780" s="20" t="n">
        <v>2438593</v>
      </c>
      <c r="D780" s="21" t="n">
        <v>8.45</v>
      </c>
    </row>
  </sheetData>
  <printOptions headings="false" gridLines="false" gridLinesSet="true" horizontalCentered="false" verticalCentered="false"/>
  <pageMargins left="0.75" right="0.75" top="1" bottom="1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K38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371" activePane="bottomLeft" state="frozen"/>
      <selection pane="topLeft" activeCell="A1" activeCellId="0" sqref="A1"/>
      <selection pane="bottomLeft" activeCell="C372" activeCellId="0" sqref="C372"/>
    </sheetView>
  </sheetViews>
  <sheetFormatPr defaultColWidth="9.15625" defaultRowHeight="14.25" zeroHeight="false" outlineLevelRow="0" outlineLevelCol="0"/>
  <cols>
    <col collapsed="false" customWidth="true" hidden="false" outlineLevel="0" max="1" min="1" style="22" width="15.15"/>
    <col collapsed="false" customWidth="true" hidden="false" outlineLevel="0" max="2" min="2" style="23" width="14.28"/>
    <col collapsed="false" customWidth="true" hidden="false" outlineLevel="0" max="3" min="3" style="24" width="12.86"/>
    <col collapsed="false" customWidth="true" hidden="false" outlineLevel="0" max="4" min="4" style="25" width="16.14"/>
    <col collapsed="false" customWidth="true" hidden="false" outlineLevel="0" max="5" min="5" style="25" width="8.14"/>
    <col collapsed="false" customWidth="true" hidden="false" outlineLevel="0" max="6" min="6" style="25" width="12.71"/>
    <col collapsed="false" customWidth="false" hidden="false" outlineLevel="0" max="7" min="7" style="25" width="9.14"/>
    <col collapsed="false" customWidth="true" hidden="false" outlineLevel="0" max="8" min="8" style="25" width="10.14"/>
    <col collapsed="false" customWidth="true" hidden="false" outlineLevel="0" max="9" min="9" style="25" width="5.57"/>
    <col collapsed="false" customWidth="true" hidden="false" outlineLevel="0" max="10" min="10" style="25" width="9.58"/>
    <col collapsed="false" customWidth="true" hidden="false" outlineLevel="0" max="11" min="11" style="25" width="12.71"/>
    <col collapsed="false" customWidth="false" hidden="false" outlineLevel="0" max="1024" min="12" style="25" width="9.14"/>
  </cols>
  <sheetData>
    <row r="1" customFormat="false" ht="15" hidden="false" customHeight="false" outlineLevel="0" collapsed="false">
      <c r="A1" s="26" t="s">
        <v>0</v>
      </c>
    </row>
    <row r="3" customFormat="false" ht="15" hidden="false" customHeight="false" outlineLevel="0" collapsed="false">
      <c r="A3" s="26" t="s">
        <v>1</v>
      </c>
    </row>
    <row r="5" customFormat="false" ht="15" hidden="false" customHeight="false" outlineLevel="0" collapsed="false">
      <c r="A5" s="27" t="s">
        <v>2</v>
      </c>
      <c r="B5" s="28" t="s">
        <v>4</v>
      </c>
      <c r="C5" s="29" t="s">
        <v>5</v>
      </c>
    </row>
    <row r="6" customFormat="false" ht="14.25" hidden="false" customHeight="false" outlineLevel="0" collapsed="false">
      <c r="A6" s="30" t="n">
        <v>38733</v>
      </c>
      <c r="B6" s="31" t="n">
        <v>100000</v>
      </c>
      <c r="C6" s="31" t="n">
        <v>8.65</v>
      </c>
      <c r="E6" s="32"/>
      <c r="F6" s="33"/>
      <c r="J6" s="33"/>
    </row>
    <row r="7" customFormat="false" ht="14.25" hidden="false" customHeight="false" outlineLevel="0" collapsed="false">
      <c r="A7" s="30" t="n">
        <v>38733</v>
      </c>
      <c r="B7" s="31" t="n">
        <v>32423</v>
      </c>
      <c r="C7" s="31" t="n">
        <v>8.65</v>
      </c>
      <c r="E7" s="32"/>
      <c r="F7" s="33"/>
    </row>
    <row r="8" customFormat="false" ht="14.25" hidden="false" customHeight="false" outlineLevel="0" collapsed="false">
      <c r="A8" s="30" t="n">
        <v>38733</v>
      </c>
      <c r="B8" s="31" t="n">
        <v>500000</v>
      </c>
      <c r="C8" s="31" t="n">
        <v>8.91</v>
      </c>
      <c r="E8" s="32"/>
      <c r="F8" s="33"/>
    </row>
    <row r="9" customFormat="false" ht="14.25" hidden="false" customHeight="false" outlineLevel="0" collapsed="false">
      <c r="A9" s="30" t="n">
        <v>38737</v>
      </c>
      <c r="B9" s="31" t="n">
        <v>67046</v>
      </c>
      <c r="C9" s="31" t="n">
        <v>9.25</v>
      </c>
      <c r="E9" s="32"/>
      <c r="F9" s="33"/>
    </row>
    <row r="10" customFormat="false" ht="14.25" hidden="false" customHeight="false" outlineLevel="0" collapsed="false">
      <c r="A10" s="30" t="n">
        <v>38741</v>
      </c>
      <c r="B10" s="31" t="n">
        <v>125000</v>
      </c>
      <c r="C10" s="31" t="n">
        <v>9.36</v>
      </c>
      <c r="E10" s="32"/>
      <c r="F10" s="33"/>
    </row>
    <row r="11" customFormat="false" ht="14.25" hidden="false" customHeight="false" outlineLevel="0" collapsed="false">
      <c r="A11" s="30" t="n">
        <v>38741</v>
      </c>
      <c r="B11" s="31" t="n">
        <v>50000</v>
      </c>
      <c r="C11" s="31" t="n">
        <v>9.35</v>
      </c>
      <c r="E11" s="32"/>
      <c r="F11" s="33"/>
    </row>
    <row r="12" customFormat="false" ht="14.25" hidden="false" customHeight="false" outlineLevel="0" collapsed="false">
      <c r="A12" s="30" t="n">
        <v>38742</v>
      </c>
      <c r="B12" s="31" t="n">
        <v>515000</v>
      </c>
      <c r="C12" s="31" t="n">
        <v>9.4</v>
      </c>
      <c r="E12" s="32"/>
      <c r="F12" s="33"/>
    </row>
    <row r="13" customFormat="false" ht="14.25" hidden="false" customHeight="false" outlineLevel="0" collapsed="false">
      <c r="A13" s="30" t="n">
        <v>38744</v>
      </c>
      <c r="B13" s="31" t="n">
        <v>14093</v>
      </c>
      <c r="C13" s="31" t="n">
        <v>9</v>
      </c>
      <c r="E13" s="32"/>
      <c r="F13" s="33"/>
    </row>
    <row r="14" customFormat="false" ht="14.25" hidden="false" customHeight="false" outlineLevel="0" collapsed="false">
      <c r="A14" s="30" t="n">
        <v>38747</v>
      </c>
      <c r="B14" s="31" t="n">
        <v>6100</v>
      </c>
      <c r="C14" s="31" t="n">
        <v>9</v>
      </c>
      <c r="E14" s="32"/>
      <c r="F14" s="33"/>
    </row>
    <row r="15" customFormat="false" ht="14.25" hidden="false" customHeight="false" outlineLevel="0" collapsed="false">
      <c r="A15" s="30" t="n">
        <v>38750</v>
      </c>
      <c r="B15" s="31" t="n">
        <v>411750</v>
      </c>
      <c r="C15" s="31" t="n">
        <v>9.1</v>
      </c>
      <c r="E15" s="32"/>
      <c r="F15" s="33"/>
    </row>
    <row r="16" customFormat="false" ht="14.25" hidden="false" customHeight="false" outlineLevel="0" collapsed="false">
      <c r="A16" s="30" t="n">
        <v>38750</v>
      </c>
      <c r="B16" s="31" t="n">
        <v>190000</v>
      </c>
      <c r="C16" s="31" t="n">
        <v>9.1</v>
      </c>
      <c r="E16" s="32"/>
      <c r="F16" s="33"/>
    </row>
    <row r="17" customFormat="false" ht="14.25" hidden="false" customHeight="false" outlineLevel="0" collapsed="false">
      <c r="A17" s="30" t="n">
        <v>38755</v>
      </c>
      <c r="B17" s="31" t="n">
        <v>500000</v>
      </c>
      <c r="C17" s="31" t="n">
        <v>9.5</v>
      </c>
      <c r="E17" s="32"/>
      <c r="F17" s="33"/>
    </row>
    <row r="18" customFormat="false" ht="14.25" hidden="false" customHeight="false" outlineLevel="0" collapsed="false">
      <c r="A18" s="30" t="n">
        <v>38755</v>
      </c>
      <c r="B18" s="31" t="n">
        <v>500000</v>
      </c>
      <c r="C18" s="31" t="n">
        <v>9.5</v>
      </c>
      <c r="E18" s="32"/>
      <c r="F18" s="33"/>
    </row>
    <row r="19" customFormat="false" ht="14.25" hidden="false" customHeight="false" outlineLevel="0" collapsed="false">
      <c r="A19" s="30" t="n">
        <v>38756</v>
      </c>
      <c r="B19" s="31" t="n">
        <v>500000</v>
      </c>
      <c r="C19" s="31" t="n">
        <v>9.5</v>
      </c>
      <c r="E19" s="32"/>
      <c r="F19" s="33"/>
    </row>
    <row r="20" customFormat="false" ht="14.25" hidden="false" customHeight="false" outlineLevel="0" collapsed="false">
      <c r="A20" s="30" t="n">
        <v>38758</v>
      </c>
      <c r="B20" s="31" t="n">
        <v>448761</v>
      </c>
      <c r="C20" s="31" t="n">
        <v>9.5</v>
      </c>
      <c r="E20" s="32"/>
      <c r="F20" s="33"/>
    </row>
    <row r="21" customFormat="false" ht="14.25" hidden="false" customHeight="false" outlineLevel="0" collapsed="false">
      <c r="A21" s="30" t="n">
        <v>38761</v>
      </c>
      <c r="B21" s="31" t="n">
        <v>72263</v>
      </c>
      <c r="C21" s="31" t="n">
        <v>9.46</v>
      </c>
      <c r="E21" s="32"/>
      <c r="F21" s="33"/>
    </row>
    <row r="22" customFormat="false" ht="14.25" hidden="false" customHeight="false" outlineLevel="0" collapsed="false">
      <c r="A22" s="30" t="n">
        <v>38761</v>
      </c>
      <c r="B22" s="31" t="n">
        <v>469400</v>
      </c>
      <c r="C22" s="31" t="n">
        <v>9.46</v>
      </c>
      <c r="E22" s="32"/>
      <c r="F22" s="33"/>
    </row>
    <row r="23" customFormat="false" ht="14.25" hidden="false" customHeight="false" outlineLevel="0" collapsed="false">
      <c r="A23" s="30" t="n">
        <v>38761</v>
      </c>
      <c r="B23" s="31" t="n">
        <v>50000</v>
      </c>
      <c r="C23" s="31" t="n">
        <v>9.46</v>
      </c>
      <c r="E23" s="32"/>
      <c r="F23" s="33"/>
    </row>
    <row r="24" customFormat="false" ht="14.25" hidden="false" customHeight="false" outlineLevel="0" collapsed="false">
      <c r="A24" s="30" t="n">
        <v>38762</v>
      </c>
      <c r="B24" s="31" t="n">
        <v>250000</v>
      </c>
      <c r="C24" s="31" t="n">
        <v>9.42</v>
      </c>
      <c r="E24" s="32"/>
      <c r="F24" s="33"/>
    </row>
    <row r="25" customFormat="false" ht="14.25" hidden="false" customHeight="false" outlineLevel="0" collapsed="false">
      <c r="A25" s="30" t="n">
        <v>38770</v>
      </c>
      <c r="B25" s="31" t="n">
        <v>1500000</v>
      </c>
      <c r="C25" s="31" t="n">
        <v>9.4</v>
      </c>
      <c r="E25" s="32"/>
      <c r="F25" s="33"/>
    </row>
    <row r="26" customFormat="false" ht="14.25" hidden="false" customHeight="false" outlineLevel="0" collapsed="false">
      <c r="A26" s="30" t="n">
        <v>38772</v>
      </c>
      <c r="B26" s="31" t="n">
        <v>1106180</v>
      </c>
      <c r="C26" s="31" t="n">
        <v>9.11</v>
      </c>
      <c r="E26" s="32"/>
      <c r="F26" s="33"/>
    </row>
    <row r="27" customFormat="false" ht="14.25" hidden="false" customHeight="false" outlineLevel="0" collapsed="false">
      <c r="A27" s="30" t="n">
        <v>38772</v>
      </c>
      <c r="B27" s="31" t="n">
        <v>1000000</v>
      </c>
      <c r="C27" s="31" t="n">
        <v>9.11</v>
      </c>
      <c r="E27" s="32"/>
      <c r="F27" s="33"/>
    </row>
    <row r="28" customFormat="false" ht="14.25" hidden="false" customHeight="false" outlineLevel="0" collapsed="false">
      <c r="A28" s="30" t="n">
        <v>38776</v>
      </c>
      <c r="B28" s="31" t="n">
        <v>621000</v>
      </c>
      <c r="C28" s="31" t="n">
        <v>9.35</v>
      </c>
      <c r="E28" s="32"/>
      <c r="F28" s="33"/>
    </row>
    <row r="29" customFormat="false" ht="14.25" hidden="false" customHeight="false" outlineLevel="0" collapsed="false">
      <c r="A29" s="30" t="n">
        <v>38777</v>
      </c>
      <c r="B29" s="31" t="n">
        <v>500000</v>
      </c>
      <c r="C29" s="31" t="n">
        <v>9.34</v>
      </c>
      <c r="E29" s="32"/>
      <c r="F29" s="33"/>
    </row>
    <row r="30" customFormat="false" ht="14.25" hidden="false" customHeight="false" outlineLevel="0" collapsed="false">
      <c r="A30" s="30" t="n">
        <v>38777</v>
      </c>
      <c r="B30" s="31" t="n">
        <v>6519236</v>
      </c>
      <c r="C30" s="31" t="n">
        <v>9.25</v>
      </c>
      <c r="E30" s="32"/>
      <c r="F30" s="33"/>
    </row>
    <row r="31" customFormat="false" ht="14.25" hidden="false" customHeight="false" outlineLevel="0" collapsed="false">
      <c r="A31" s="30" t="n">
        <v>38786</v>
      </c>
      <c r="B31" s="31" t="n">
        <v>53534</v>
      </c>
      <c r="C31" s="31" t="n">
        <v>9.4</v>
      </c>
      <c r="E31" s="32"/>
      <c r="F31" s="33"/>
    </row>
    <row r="32" customFormat="false" ht="14.25" hidden="false" customHeight="false" outlineLevel="0" collapsed="false">
      <c r="A32" s="30" t="n">
        <v>38786</v>
      </c>
      <c r="B32" s="31" t="n">
        <v>53534</v>
      </c>
      <c r="C32" s="31" t="n">
        <v>9.4</v>
      </c>
      <c r="E32" s="32"/>
      <c r="F32" s="33"/>
    </row>
    <row r="33" customFormat="false" ht="14.25" hidden="false" customHeight="false" outlineLevel="0" collapsed="false">
      <c r="A33" s="30" t="n">
        <v>38790</v>
      </c>
      <c r="B33" s="31" t="n">
        <v>1050000</v>
      </c>
      <c r="C33" s="31" t="n">
        <v>10</v>
      </c>
      <c r="E33" s="32"/>
      <c r="F33" s="33"/>
    </row>
    <row r="34" customFormat="false" ht="14.25" hidden="false" customHeight="false" outlineLevel="0" collapsed="false">
      <c r="A34" s="30" t="n">
        <v>38790</v>
      </c>
      <c r="B34" s="31" t="n">
        <v>50000</v>
      </c>
      <c r="C34" s="31" t="n">
        <v>9.6</v>
      </c>
      <c r="E34" s="32"/>
      <c r="F34" s="33"/>
    </row>
    <row r="35" customFormat="false" ht="14.25" hidden="false" customHeight="false" outlineLevel="0" collapsed="false">
      <c r="A35" s="30" t="n">
        <v>38796</v>
      </c>
      <c r="B35" s="31" t="n">
        <v>1000000</v>
      </c>
      <c r="C35" s="31" t="n">
        <v>9.49</v>
      </c>
      <c r="E35" s="32"/>
      <c r="F35" s="33"/>
    </row>
    <row r="36" customFormat="false" ht="14.25" hidden="false" customHeight="false" outlineLevel="0" collapsed="false">
      <c r="A36" s="30" t="n">
        <v>38796</v>
      </c>
      <c r="B36" s="31" t="n">
        <v>1000000</v>
      </c>
      <c r="C36" s="31" t="n">
        <v>9.48</v>
      </c>
      <c r="E36" s="32"/>
      <c r="F36" s="33"/>
    </row>
    <row r="37" customFormat="false" ht="14.25" hidden="false" customHeight="false" outlineLevel="0" collapsed="false">
      <c r="A37" s="30" t="n">
        <v>38796</v>
      </c>
      <c r="B37" s="31" t="n">
        <v>1000000</v>
      </c>
      <c r="C37" s="31" t="n">
        <v>9.48</v>
      </c>
      <c r="E37" s="32"/>
      <c r="F37" s="33"/>
    </row>
    <row r="38" customFormat="false" ht="14.25" hidden="false" customHeight="false" outlineLevel="0" collapsed="false">
      <c r="A38" s="30" t="n">
        <v>38797</v>
      </c>
      <c r="B38" s="31" t="n">
        <v>23000</v>
      </c>
      <c r="C38" s="31" t="n">
        <v>9.48</v>
      </c>
      <c r="E38" s="32"/>
      <c r="F38" s="33"/>
    </row>
    <row r="39" customFormat="false" ht="14.25" hidden="false" customHeight="false" outlineLevel="0" collapsed="false">
      <c r="A39" s="30" t="n">
        <v>38805</v>
      </c>
      <c r="B39" s="31" t="n">
        <v>914589</v>
      </c>
      <c r="C39" s="31" t="n">
        <v>9.43</v>
      </c>
      <c r="E39" s="32"/>
      <c r="F39" s="33"/>
    </row>
    <row r="40" customFormat="false" ht="14.25" hidden="false" customHeight="false" outlineLevel="0" collapsed="false">
      <c r="A40" s="30" t="n">
        <v>38805</v>
      </c>
      <c r="B40" s="31" t="n">
        <v>6465</v>
      </c>
      <c r="C40" s="31" t="n">
        <v>9.39</v>
      </c>
      <c r="E40" s="32"/>
      <c r="F40" s="33"/>
    </row>
    <row r="41" customFormat="false" ht="14.25" hidden="false" customHeight="false" outlineLevel="0" collapsed="false">
      <c r="A41" s="30" t="n">
        <v>38805</v>
      </c>
      <c r="B41" s="31" t="n">
        <v>993535</v>
      </c>
      <c r="C41" s="31" t="n">
        <v>9.39</v>
      </c>
      <c r="E41" s="32"/>
      <c r="F41" s="33"/>
    </row>
    <row r="42" customFormat="false" ht="14.25" hidden="false" customHeight="false" outlineLevel="0" collapsed="false">
      <c r="A42" s="30" t="n">
        <v>38805</v>
      </c>
      <c r="B42" s="31" t="n">
        <v>1100000</v>
      </c>
      <c r="C42" s="31" t="n">
        <v>9.4</v>
      </c>
      <c r="E42" s="32"/>
      <c r="F42" s="33"/>
    </row>
    <row r="43" customFormat="false" ht="14.25" hidden="false" customHeight="false" outlineLevel="0" collapsed="false">
      <c r="A43" s="30" t="n">
        <v>38807</v>
      </c>
      <c r="B43" s="31" t="n">
        <v>38022</v>
      </c>
      <c r="C43" s="31" t="n">
        <v>9.41</v>
      </c>
      <c r="E43" s="32"/>
      <c r="F43" s="33"/>
    </row>
    <row r="44" customFormat="false" ht="14.25" hidden="false" customHeight="false" outlineLevel="0" collapsed="false">
      <c r="A44" s="30" t="n">
        <v>38807</v>
      </c>
      <c r="B44" s="31" t="n">
        <v>2500000</v>
      </c>
      <c r="C44" s="31" t="n">
        <v>9.4</v>
      </c>
      <c r="E44" s="32"/>
      <c r="F44" s="33"/>
    </row>
    <row r="45" customFormat="false" ht="14.25" hidden="false" customHeight="false" outlineLevel="0" collapsed="false">
      <c r="A45" s="30" t="n">
        <v>38814</v>
      </c>
      <c r="B45" s="31" t="n">
        <v>78000</v>
      </c>
      <c r="C45" s="31" t="n">
        <v>9.66</v>
      </c>
      <c r="E45" s="32"/>
      <c r="F45" s="33"/>
    </row>
    <row r="46" customFormat="false" ht="14.25" hidden="false" customHeight="false" outlineLevel="0" collapsed="false">
      <c r="A46" s="30" t="n">
        <v>38819</v>
      </c>
      <c r="B46" s="31" t="n">
        <v>1100000</v>
      </c>
      <c r="C46" s="31" t="n">
        <v>9.4</v>
      </c>
      <c r="E46" s="32"/>
      <c r="F46" s="33"/>
    </row>
    <row r="47" customFormat="false" ht="14.25" hidden="false" customHeight="false" outlineLevel="0" collapsed="false">
      <c r="A47" s="30" t="n">
        <v>38828</v>
      </c>
      <c r="B47" s="31" t="n">
        <v>406300</v>
      </c>
      <c r="C47" s="31" t="n">
        <v>9.76</v>
      </c>
      <c r="E47" s="32"/>
      <c r="F47" s="33"/>
    </row>
    <row r="48" customFormat="false" ht="14.25" hidden="false" customHeight="false" outlineLevel="0" collapsed="false">
      <c r="A48" s="30" t="n">
        <v>38828</v>
      </c>
      <c r="B48" s="31" t="n">
        <v>93700</v>
      </c>
      <c r="C48" s="31" t="n">
        <v>9.76</v>
      </c>
      <c r="E48" s="32"/>
      <c r="F48" s="33"/>
    </row>
    <row r="49" customFormat="false" ht="14.25" hidden="false" customHeight="false" outlineLevel="0" collapsed="false">
      <c r="A49" s="30" t="n">
        <v>38828</v>
      </c>
      <c r="B49" s="31" t="n">
        <v>500000</v>
      </c>
      <c r="C49" s="31" t="n">
        <v>9.76</v>
      </c>
      <c r="E49" s="32"/>
      <c r="F49" s="33"/>
    </row>
    <row r="50" customFormat="false" ht="14.25" hidden="false" customHeight="false" outlineLevel="0" collapsed="false">
      <c r="A50" s="30" t="n">
        <v>38828</v>
      </c>
      <c r="B50" s="31" t="n">
        <v>600000</v>
      </c>
      <c r="C50" s="31" t="n">
        <v>9.81</v>
      </c>
      <c r="E50" s="32"/>
      <c r="F50" s="33"/>
    </row>
    <row r="51" customFormat="false" ht="14.25" hidden="false" customHeight="false" outlineLevel="0" collapsed="false">
      <c r="A51" s="30" t="n">
        <v>38828</v>
      </c>
      <c r="B51" s="31" t="n">
        <v>270000</v>
      </c>
      <c r="C51" s="31" t="n">
        <v>9.84</v>
      </c>
      <c r="E51" s="32"/>
      <c r="F51" s="33"/>
    </row>
    <row r="52" customFormat="false" ht="14.25" hidden="false" customHeight="false" outlineLevel="0" collapsed="false">
      <c r="A52" s="30" t="n">
        <v>38828</v>
      </c>
      <c r="B52" s="31" t="n">
        <v>257834</v>
      </c>
      <c r="C52" s="31" t="n">
        <v>9.84</v>
      </c>
      <c r="E52" s="32"/>
      <c r="F52" s="33"/>
    </row>
    <row r="53" customFormat="false" ht="14.25" hidden="false" customHeight="false" outlineLevel="0" collapsed="false">
      <c r="A53" s="30" t="n">
        <v>38828</v>
      </c>
      <c r="B53" s="31" t="n">
        <v>265000</v>
      </c>
      <c r="C53" s="31" t="n">
        <v>9.86</v>
      </c>
      <c r="E53" s="32"/>
      <c r="F53" s="33"/>
    </row>
    <row r="54" customFormat="false" ht="14.25" hidden="false" customHeight="false" outlineLevel="0" collapsed="false">
      <c r="A54" s="30" t="n">
        <v>38828</v>
      </c>
      <c r="B54" s="31" t="n">
        <v>265000</v>
      </c>
      <c r="C54" s="31" t="n">
        <v>9.85</v>
      </c>
      <c r="E54" s="32"/>
      <c r="F54" s="33"/>
    </row>
    <row r="55" customFormat="false" ht="14.25" hidden="false" customHeight="false" outlineLevel="0" collapsed="false">
      <c r="A55" s="30" t="n">
        <v>38828</v>
      </c>
      <c r="B55" s="31" t="n">
        <v>527834</v>
      </c>
      <c r="C55" s="31" t="n">
        <v>9.82</v>
      </c>
      <c r="E55" s="32"/>
      <c r="F55" s="33"/>
    </row>
    <row r="56" customFormat="false" ht="14.25" hidden="false" customHeight="false" outlineLevel="0" collapsed="false">
      <c r="A56" s="30" t="n">
        <v>38828</v>
      </c>
      <c r="B56" s="31" t="n">
        <v>692166</v>
      </c>
      <c r="C56" s="31" t="n">
        <v>9.86</v>
      </c>
      <c r="E56" s="32"/>
      <c r="F56" s="33"/>
    </row>
    <row r="57" customFormat="false" ht="14.25" hidden="false" customHeight="false" outlineLevel="0" collapsed="false">
      <c r="A57" s="30" t="n">
        <v>38828</v>
      </c>
      <c r="B57" s="31" t="n">
        <v>500000</v>
      </c>
      <c r="C57" s="31" t="n">
        <v>9.84</v>
      </c>
      <c r="E57" s="32"/>
      <c r="F57" s="33"/>
    </row>
    <row r="58" customFormat="false" ht="14.25" hidden="false" customHeight="false" outlineLevel="0" collapsed="false">
      <c r="A58" s="30" t="n">
        <v>38832</v>
      </c>
      <c r="B58" s="31" t="n">
        <v>205000</v>
      </c>
      <c r="C58" s="31" t="n">
        <v>9.76</v>
      </c>
      <c r="E58" s="32"/>
      <c r="F58" s="33"/>
    </row>
    <row r="59" customFormat="false" ht="14.25" hidden="false" customHeight="false" outlineLevel="0" collapsed="false">
      <c r="A59" s="30" t="n">
        <v>38834</v>
      </c>
      <c r="B59" s="31" t="n">
        <v>370000</v>
      </c>
      <c r="C59" s="31" t="n">
        <v>9.96</v>
      </c>
      <c r="E59" s="32"/>
      <c r="F59" s="33"/>
    </row>
    <row r="60" customFormat="false" ht="14.25" hidden="false" customHeight="false" outlineLevel="0" collapsed="false">
      <c r="A60" s="30" t="n">
        <v>38834</v>
      </c>
      <c r="B60" s="31" t="n">
        <v>130000</v>
      </c>
      <c r="C60" s="31" t="n">
        <v>9.96</v>
      </c>
      <c r="E60" s="32"/>
      <c r="F60" s="33"/>
    </row>
    <row r="61" customFormat="false" ht="14.25" hidden="false" customHeight="false" outlineLevel="0" collapsed="false">
      <c r="A61" s="30" t="n">
        <v>38834</v>
      </c>
      <c r="B61" s="31" t="n">
        <v>800000</v>
      </c>
      <c r="C61" s="31" t="n">
        <v>9.85</v>
      </c>
      <c r="E61" s="32"/>
      <c r="F61" s="33"/>
    </row>
    <row r="62" customFormat="false" ht="14.25" hidden="false" customHeight="false" outlineLevel="0" collapsed="false">
      <c r="A62" s="30" t="n">
        <v>38834</v>
      </c>
      <c r="B62" s="31" t="n">
        <v>600000</v>
      </c>
      <c r="C62" s="31" t="n">
        <v>9.85</v>
      </c>
      <c r="E62" s="32"/>
      <c r="F62" s="33"/>
    </row>
    <row r="63" customFormat="false" ht="14.25" hidden="false" customHeight="false" outlineLevel="0" collapsed="false">
      <c r="A63" s="30" t="n">
        <v>38842</v>
      </c>
      <c r="B63" s="31" t="n">
        <v>500000</v>
      </c>
      <c r="C63" s="31" t="n">
        <v>9.87</v>
      </c>
      <c r="E63" s="32"/>
      <c r="F63" s="33"/>
    </row>
    <row r="64" customFormat="false" ht="14.25" hidden="false" customHeight="false" outlineLevel="0" collapsed="false">
      <c r="A64" s="30" t="n">
        <v>38848</v>
      </c>
      <c r="B64" s="31" t="n">
        <v>1100000</v>
      </c>
      <c r="C64" s="31" t="n">
        <v>9.85</v>
      </c>
      <c r="E64" s="32"/>
      <c r="F64" s="33"/>
    </row>
    <row r="65" customFormat="false" ht="14.25" hidden="false" customHeight="false" outlineLevel="0" collapsed="false">
      <c r="A65" s="30" t="n">
        <v>38849</v>
      </c>
      <c r="B65" s="31" t="n">
        <v>500000</v>
      </c>
      <c r="C65" s="31" t="n">
        <v>9.9</v>
      </c>
      <c r="E65" s="32"/>
      <c r="F65" s="33"/>
    </row>
    <row r="66" customFormat="false" ht="14.25" hidden="false" customHeight="false" outlineLevel="0" collapsed="false">
      <c r="A66" s="30" t="n">
        <v>38849</v>
      </c>
      <c r="B66" s="31" t="n">
        <v>80000</v>
      </c>
      <c r="C66" s="31" t="n">
        <v>9.86</v>
      </c>
      <c r="E66" s="32"/>
      <c r="F66" s="33"/>
    </row>
    <row r="67" customFormat="false" ht="14.25" hidden="false" customHeight="false" outlineLevel="0" collapsed="false">
      <c r="A67" s="30" t="n">
        <v>38849</v>
      </c>
      <c r="B67" s="31" t="n">
        <v>14500000</v>
      </c>
      <c r="C67" s="31" t="n">
        <v>9.86</v>
      </c>
      <c r="E67" s="32"/>
      <c r="F67" s="33"/>
    </row>
    <row r="68" customFormat="false" ht="14.25" hidden="false" customHeight="false" outlineLevel="0" collapsed="false">
      <c r="A68" s="30" t="n">
        <v>38852</v>
      </c>
      <c r="B68" s="31" t="n">
        <v>200000</v>
      </c>
      <c r="C68" s="31" t="n">
        <v>10.11</v>
      </c>
      <c r="E68" s="32"/>
      <c r="F68" s="33"/>
    </row>
    <row r="69" customFormat="false" ht="14.25" hidden="false" customHeight="false" outlineLevel="0" collapsed="false">
      <c r="A69" s="30" t="n">
        <v>38852</v>
      </c>
      <c r="B69" s="31" t="n">
        <v>350000</v>
      </c>
      <c r="C69" s="31" t="n">
        <v>9.91</v>
      </c>
      <c r="E69" s="32"/>
      <c r="F69" s="33"/>
    </row>
    <row r="70" customFormat="false" ht="14.25" hidden="false" customHeight="false" outlineLevel="0" collapsed="false">
      <c r="A70" s="30" t="n">
        <v>38852</v>
      </c>
      <c r="B70" s="31" t="n">
        <v>3950000</v>
      </c>
      <c r="C70" s="31" t="n">
        <v>9.91</v>
      </c>
      <c r="E70" s="32"/>
      <c r="F70" s="33"/>
    </row>
    <row r="71" customFormat="false" ht="14.25" hidden="false" customHeight="false" outlineLevel="0" collapsed="false">
      <c r="A71" s="30" t="n">
        <v>38853</v>
      </c>
      <c r="B71" s="31" t="n">
        <v>400000</v>
      </c>
      <c r="C71" s="31" t="n">
        <v>9.91</v>
      </c>
      <c r="E71" s="32"/>
      <c r="F71" s="33"/>
    </row>
    <row r="72" customFormat="false" ht="14.25" hidden="false" customHeight="false" outlineLevel="0" collapsed="false">
      <c r="A72" s="30" t="n">
        <v>38853</v>
      </c>
      <c r="B72" s="31" t="n">
        <v>10000000</v>
      </c>
      <c r="C72" s="31" t="n">
        <v>10.11</v>
      </c>
      <c r="E72" s="32"/>
      <c r="F72" s="33"/>
    </row>
    <row r="73" customFormat="false" ht="14.25" hidden="false" customHeight="false" outlineLevel="0" collapsed="false">
      <c r="A73" s="30" t="n">
        <v>38854</v>
      </c>
      <c r="B73" s="31" t="n">
        <v>100000</v>
      </c>
      <c r="C73" s="31" t="n">
        <v>10.25</v>
      </c>
      <c r="E73" s="32"/>
      <c r="F73" s="33"/>
    </row>
    <row r="74" customFormat="false" ht="14.25" hidden="false" customHeight="false" outlineLevel="0" collapsed="false">
      <c r="A74" s="30" t="n">
        <v>38855</v>
      </c>
      <c r="B74" s="31" t="n">
        <v>1100000</v>
      </c>
      <c r="C74" s="31" t="n">
        <v>10.04</v>
      </c>
      <c r="E74" s="32"/>
      <c r="F74" s="33"/>
    </row>
    <row r="75" customFormat="false" ht="14.25" hidden="false" customHeight="false" outlineLevel="0" collapsed="false">
      <c r="A75" s="30" t="n">
        <v>38855</v>
      </c>
      <c r="B75" s="31" t="n">
        <v>420919</v>
      </c>
      <c r="C75" s="31" t="n">
        <v>10.05</v>
      </c>
      <c r="E75" s="32"/>
      <c r="F75" s="33"/>
    </row>
    <row r="76" customFormat="false" ht="14.25" hidden="false" customHeight="false" outlineLevel="0" collapsed="false">
      <c r="A76" s="30" t="n">
        <v>38855</v>
      </c>
      <c r="B76" s="31" t="n">
        <v>15579081</v>
      </c>
      <c r="C76" s="31" t="n">
        <v>10.05</v>
      </c>
      <c r="E76" s="32"/>
      <c r="F76" s="33"/>
    </row>
    <row r="77" customFormat="false" ht="14.25" hidden="false" customHeight="false" outlineLevel="0" collapsed="false">
      <c r="A77" s="30" t="n">
        <v>38856</v>
      </c>
      <c r="B77" s="31" t="n">
        <v>3710396</v>
      </c>
      <c r="C77" s="31" t="n">
        <v>10.06</v>
      </c>
      <c r="E77" s="32"/>
      <c r="F77" s="33"/>
    </row>
    <row r="78" customFormat="false" ht="14.25" hidden="false" customHeight="false" outlineLevel="0" collapsed="false">
      <c r="A78" s="30" t="n">
        <v>38856</v>
      </c>
      <c r="B78" s="31" t="n">
        <v>32388</v>
      </c>
      <c r="C78" s="31" t="n">
        <v>10.06</v>
      </c>
      <c r="E78" s="32"/>
      <c r="F78" s="33"/>
    </row>
    <row r="79" customFormat="false" ht="14.25" hidden="false" customHeight="false" outlineLevel="0" collapsed="false">
      <c r="A79" s="30" t="n">
        <v>38856</v>
      </c>
      <c r="B79" s="31" t="n">
        <v>32388</v>
      </c>
      <c r="C79" s="31" t="n">
        <v>10.06</v>
      </c>
      <c r="E79" s="32"/>
      <c r="F79" s="33"/>
    </row>
    <row r="80" customFormat="false" ht="14.25" hidden="false" customHeight="false" outlineLevel="0" collapsed="false">
      <c r="A80" s="30" t="n">
        <v>38860</v>
      </c>
      <c r="B80" s="31" t="n">
        <v>300000</v>
      </c>
      <c r="C80" s="31" t="n">
        <v>10.15</v>
      </c>
      <c r="E80" s="32"/>
      <c r="F80" s="33"/>
    </row>
    <row r="81" customFormat="false" ht="14.25" hidden="false" customHeight="false" outlineLevel="0" collapsed="false">
      <c r="A81" s="30" t="n">
        <v>38860</v>
      </c>
      <c r="B81" s="31" t="n">
        <v>100000</v>
      </c>
      <c r="C81" s="31" t="n">
        <v>10.16</v>
      </c>
      <c r="E81" s="32"/>
      <c r="F81" s="33"/>
    </row>
    <row r="82" customFormat="false" ht="14.25" hidden="false" customHeight="false" outlineLevel="0" collapsed="false">
      <c r="A82" s="30" t="n">
        <v>38870</v>
      </c>
      <c r="B82" s="34" t="n">
        <v>2342784</v>
      </c>
      <c r="C82" s="31" t="n">
        <v>10.15</v>
      </c>
    </row>
    <row r="83" customFormat="false" ht="14.25" hidden="false" customHeight="false" outlineLevel="0" collapsed="false">
      <c r="A83" s="30" t="n">
        <v>38870</v>
      </c>
      <c r="B83" s="34" t="n">
        <v>1400000</v>
      </c>
      <c r="C83" s="31" t="n">
        <v>10.15</v>
      </c>
    </row>
    <row r="84" customFormat="false" ht="14.25" hidden="false" customHeight="false" outlineLevel="0" collapsed="false">
      <c r="A84" s="30" t="n">
        <v>38874</v>
      </c>
      <c r="B84" s="34" t="n">
        <v>425000</v>
      </c>
      <c r="C84" s="31" t="n">
        <v>10.15</v>
      </c>
    </row>
    <row r="85" customFormat="false" ht="14.25" hidden="false" customHeight="false" outlineLevel="0" collapsed="false">
      <c r="A85" s="30" t="n">
        <v>38904</v>
      </c>
      <c r="B85" s="34" t="n">
        <v>50000</v>
      </c>
      <c r="C85" s="31" t="n">
        <v>10.07</v>
      </c>
    </row>
    <row r="86" customFormat="false" ht="14.25" hidden="false" customHeight="false" outlineLevel="0" collapsed="false">
      <c r="A86" s="30" t="n">
        <v>38904</v>
      </c>
      <c r="B86" s="34" t="n">
        <v>1250000</v>
      </c>
      <c r="C86" s="31" t="n">
        <v>10.07</v>
      </c>
    </row>
    <row r="87" customFormat="false" ht="14.25" hidden="false" customHeight="false" outlineLevel="0" collapsed="false">
      <c r="A87" s="30" t="n">
        <v>38904</v>
      </c>
      <c r="B87" s="34" t="n">
        <v>100000</v>
      </c>
      <c r="C87" s="31" t="n">
        <v>10.07</v>
      </c>
    </row>
    <row r="88" customFormat="false" ht="14.25" hidden="false" customHeight="false" outlineLevel="0" collapsed="false">
      <c r="A88" s="30" t="n">
        <v>38926</v>
      </c>
      <c r="B88" s="34" t="n">
        <v>25000</v>
      </c>
      <c r="C88" s="31" t="n">
        <v>10.07</v>
      </c>
    </row>
    <row r="89" customFormat="false" ht="14.25" hidden="false" customHeight="false" outlineLevel="0" collapsed="false">
      <c r="A89" s="30" t="n">
        <v>38957</v>
      </c>
      <c r="B89" s="34" t="n">
        <v>2317</v>
      </c>
      <c r="C89" s="31" t="n">
        <v>11</v>
      </c>
    </row>
    <row r="90" customFormat="false" ht="14.25" hidden="false" customHeight="false" outlineLevel="0" collapsed="false">
      <c r="A90" s="30" t="n">
        <v>38957</v>
      </c>
      <c r="B90" s="34" t="n">
        <v>54611</v>
      </c>
      <c r="C90" s="31" t="n">
        <v>11</v>
      </c>
    </row>
    <row r="91" customFormat="false" ht="14.25" hidden="false" customHeight="false" outlineLevel="0" collapsed="false">
      <c r="A91" s="30" t="n">
        <v>38971</v>
      </c>
      <c r="B91" s="34" t="n">
        <v>27295</v>
      </c>
      <c r="C91" s="31" t="n">
        <v>11.5</v>
      </c>
    </row>
    <row r="92" customFormat="false" ht="14.25" hidden="false" customHeight="false" outlineLevel="0" collapsed="false">
      <c r="A92" s="30" t="n">
        <v>38971</v>
      </c>
      <c r="B92" s="34" t="n">
        <v>1700000</v>
      </c>
      <c r="C92" s="31" t="n">
        <v>12.25</v>
      </c>
    </row>
    <row r="93" customFormat="false" ht="14.25" hidden="false" customHeight="false" outlineLevel="0" collapsed="false">
      <c r="A93" s="30" t="n">
        <v>38987</v>
      </c>
      <c r="B93" s="34" t="n">
        <v>4000</v>
      </c>
      <c r="C93" s="31" t="n">
        <v>13.5</v>
      </c>
    </row>
    <row r="94" customFormat="false" ht="14.25" hidden="false" customHeight="false" outlineLevel="0" collapsed="false">
      <c r="A94" s="30" t="n">
        <v>38999</v>
      </c>
      <c r="B94" s="34" t="n">
        <v>996000</v>
      </c>
      <c r="C94" s="31" t="n">
        <v>13</v>
      </c>
    </row>
    <row r="95" customFormat="false" ht="14.25" hidden="false" customHeight="false" outlineLevel="0" collapsed="false">
      <c r="A95" s="30" t="n">
        <v>39007</v>
      </c>
      <c r="B95" s="34" t="n">
        <v>1500</v>
      </c>
      <c r="C95" s="31" t="n">
        <v>13.1</v>
      </c>
    </row>
    <row r="96" customFormat="false" ht="14.25" hidden="false" customHeight="false" outlineLevel="0" collapsed="false">
      <c r="A96" s="30" t="n">
        <v>39007</v>
      </c>
      <c r="B96" s="34" t="n">
        <v>2000</v>
      </c>
      <c r="C96" s="31" t="n">
        <v>13.5</v>
      </c>
    </row>
    <row r="97" customFormat="false" ht="14.25" hidden="false" customHeight="false" outlineLevel="0" collapsed="false">
      <c r="A97" s="30" t="n">
        <v>39009</v>
      </c>
      <c r="B97" s="34" t="n">
        <v>29774</v>
      </c>
      <c r="C97" s="31" t="n">
        <v>13</v>
      </c>
    </row>
    <row r="98" customFormat="false" ht="14.25" hidden="false" customHeight="false" outlineLevel="0" collapsed="false">
      <c r="A98" s="30" t="n">
        <v>39009</v>
      </c>
      <c r="B98" s="34" t="n">
        <v>1783192</v>
      </c>
      <c r="C98" s="31" t="n">
        <v>13</v>
      </c>
    </row>
    <row r="99" customFormat="false" ht="14.25" hidden="false" customHeight="false" outlineLevel="0" collapsed="false">
      <c r="A99" s="30" t="n">
        <v>39014</v>
      </c>
      <c r="B99" s="34" t="n">
        <v>101232</v>
      </c>
      <c r="C99" s="31" t="n">
        <v>13</v>
      </c>
    </row>
    <row r="100" customFormat="false" ht="14.25" hidden="false" customHeight="false" outlineLevel="0" collapsed="false">
      <c r="A100" s="30" t="n">
        <v>39017</v>
      </c>
      <c r="B100" s="34" t="n">
        <v>25307</v>
      </c>
      <c r="C100" s="31" t="n">
        <v>13.07</v>
      </c>
    </row>
    <row r="101" customFormat="false" ht="14.25" hidden="false" customHeight="false" outlineLevel="0" collapsed="false">
      <c r="A101" s="30" t="n">
        <v>39017</v>
      </c>
      <c r="B101" s="34" t="n">
        <v>1500000</v>
      </c>
      <c r="C101" s="31" t="n">
        <v>13.03</v>
      </c>
    </row>
    <row r="102" customFormat="false" ht="14.25" hidden="false" customHeight="false" outlineLevel="0" collapsed="false">
      <c r="A102" s="30" t="n">
        <v>39017</v>
      </c>
      <c r="B102" s="34" t="n">
        <v>415801</v>
      </c>
      <c r="C102" s="31" t="n">
        <v>13.04</v>
      </c>
    </row>
    <row r="103" customFormat="false" ht="14.25" hidden="false" customHeight="false" outlineLevel="0" collapsed="false">
      <c r="A103" s="30" t="n">
        <v>39017</v>
      </c>
      <c r="B103" s="34" t="n">
        <v>28000000</v>
      </c>
      <c r="C103" s="31" t="n">
        <v>13.04</v>
      </c>
    </row>
    <row r="104" customFormat="false" ht="14.25" hidden="false" customHeight="false" outlineLevel="0" collapsed="false">
      <c r="A104" s="30" t="n">
        <v>39034</v>
      </c>
      <c r="B104" s="34" t="n">
        <v>46121</v>
      </c>
      <c r="C104" s="31" t="n">
        <v>14</v>
      </c>
    </row>
    <row r="105" customFormat="false" ht="14.25" hidden="false" customHeight="false" outlineLevel="0" collapsed="false">
      <c r="A105" s="30" t="n">
        <v>39034</v>
      </c>
      <c r="B105" s="34" t="n">
        <v>87879</v>
      </c>
      <c r="C105" s="31" t="n">
        <v>14</v>
      </c>
    </row>
    <row r="106" customFormat="false" ht="14.25" hidden="false" customHeight="false" outlineLevel="0" collapsed="false">
      <c r="A106" s="30" t="n">
        <v>39035</v>
      </c>
      <c r="B106" s="34" t="n">
        <v>972000</v>
      </c>
      <c r="C106" s="31" t="n">
        <v>14</v>
      </c>
    </row>
    <row r="107" customFormat="false" ht="14.25" hidden="false" customHeight="false" outlineLevel="0" collapsed="false">
      <c r="A107" s="30" t="n">
        <v>39035</v>
      </c>
      <c r="B107" s="34" t="n">
        <v>28000</v>
      </c>
      <c r="C107" s="31" t="n">
        <v>14</v>
      </c>
    </row>
    <row r="108" customFormat="false" ht="14.25" hidden="false" customHeight="false" outlineLevel="0" collapsed="false">
      <c r="A108" s="30" t="n">
        <v>39037</v>
      </c>
      <c r="B108" s="34" t="n">
        <v>1613512</v>
      </c>
      <c r="C108" s="31" t="n">
        <v>14.25</v>
      </c>
    </row>
    <row r="109" customFormat="false" ht="14.25" hidden="false" customHeight="false" outlineLevel="0" collapsed="false">
      <c r="A109" s="30" t="n">
        <v>39049</v>
      </c>
      <c r="B109" s="34" t="n">
        <v>100000</v>
      </c>
      <c r="C109" s="31" t="n">
        <v>14.44</v>
      </c>
    </row>
    <row r="110" customFormat="false" ht="14.25" hidden="false" customHeight="false" outlineLevel="0" collapsed="false">
      <c r="A110" s="35" t="n">
        <v>39133</v>
      </c>
      <c r="B110" s="36" t="n">
        <v>1050000</v>
      </c>
      <c r="C110" s="37" t="n">
        <v>15.25</v>
      </c>
    </row>
    <row r="111" customFormat="false" ht="14.25" hidden="false" customHeight="false" outlineLevel="0" collapsed="false">
      <c r="A111" s="35" t="n">
        <v>39134</v>
      </c>
      <c r="B111" s="36" t="n">
        <v>35500</v>
      </c>
      <c r="C111" s="37" t="n">
        <v>15.25</v>
      </c>
    </row>
    <row r="112" customFormat="false" ht="14.25" hidden="false" customHeight="false" outlineLevel="0" collapsed="false">
      <c r="A112" s="35" t="n">
        <v>39134</v>
      </c>
      <c r="B112" s="36" t="n">
        <v>391757</v>
      </c>
      <c r="C112" s="37" t="n">
        <v>15.25</v>
      </c>
    </row>
    <row r="113" customFormat="false" ht="14.25" hidden="false" customHeight="false" outlineLevel="0" collapsed="false">
      <c r="A113" s="35" t="n">
        <v>39136</v>
      </c>
      <c r="B113" s="36" t="n">
        <v>33050</v>
      </c>
      <c r="C113" s="37" t="n">
        <v>15.25</v>
      </c>
    </row>
    <row r="114" customFormat="false" ht="14.25" hidden="false" customHeight="false" outlineLevel="0" collapsed="false">
      <c r="A114" s="35" t="n">
        <v>39142</v>
      </c>
      <c r="B114" s="36" t="n">
        <v>135464</v>
      </c>
      <c r="C114" s="37" t="n">
        <v>15.71</v>
      </c>
    </row>
    <row r="115" customFormat="false" ht="14.25" hidden="false" customHeight="false" outlineLevel="0" collapsed="false">
      <c r="A115" s="35" t="n">
        <v>39147</v>
      </c>
      <c r="B115" s="36" t="n">
        <v>500000</v>
      </c>
      <c r="C115" s="37" t="n">
        <v>16.5</v>
      </c>
    </row>
    <row r="116" customFormat="false" ht="14.25" hidden="false" customHeight="false" outlineLevel="0" collapsed="false">
      <c r="A116" s="35" t="n">
        <v>39147</v>
      </c>
      <c r="B116" s="36" t="n">
        <v>100000</v>
      </c>
      <c r="C116" s="37" t="n">
        <v>16.57</v>
      </c>
    </row>
    <row r="117" customFormat="false" ht="14.25" hidden="false" customHeight="false" outlineLevel="0" collapsed="false">
      <c r="A117" s="35" t="n">
        <v>39147</v>
      </c>
      <c r="B117" s="36" t="n">
        <v>20000</v>
      </c>
      <c r="C117" s="37" t="n">
        <v>16.57</v>
      </c>
    </row>
    <row r="118" customFormat="false" ht="14.25" hidden="false" customHeight="false" outlineLevel="0" collapsed="false">
      <c r="A118" s="35" t="n">
        <v>39148</v>
      </c>
      <c r="B118" s="36" t="n">
        <v>119000</v>
      </c>
      <c r="C118" s="37" t="n">
        <v>16.6</v>
      </c>
    </row>
    <row r="119" customFormat="false" ht="14.25" hidden="false" customHeight="false" outlineLevel="0" collapsed="false">
      <c r="A119" s="35" t="n">
        <v>39148</v>
      </c>
      <c r="B119" s="36" t="n">
        <v>1000</v>
      </c>
      <c r="C119" s="37" t="n">
        <v>16.6</v>
      </c>
    </row>
    <row r="120" customFormat="false" ht="14.25" hidden="false" customHeight="false" outlineLevel="0" collapsed="false">
      <c r="A120" s="35" t="n">
        <v>39148</v>
      </c>
      <c r="B120" s="36" t="n">
        <v>16464</v>
      </c>
      <c r="C120" s="37" t="n">
        <v>16.6</v>
      </c>
    </row>
    <row r="121" customFormat="false" ht="14.25" hidden="false" customHeight="false" outlineLevel="0" collapsed="false">
      <c r="A121" s="35" t="n">
        <v>39150</v>
      </c>
      <c r="B121" s="36" t="n">
        <v>1200</v>
      </c>
      <c r="C121" s="37" t="n">
        <v>16.5</v>
      </c>
    </row>
    <row r="122" customFormat="false" ht="14.25" hidden="false" customHeight="false" outlineLevel="0" collapsed="false">
      <c r="A122" s="35" t="n">
        <v>39150</v>
      </c>
      <c r="B122" s="36" t="n">
        <v>498800</v>
      </c>
      <c r="C122" s="37" t="n">
        <v>16.49</v>
      </c>
    </row>
    <row r="123" customFormat="false" ht="14.25" hidden="false" customHeight="false" outlineLevel="0" collapsed="false">
      <c r="A123" s="35" t="n">
        <v>39150</v>
      </c>
      <c r="B123" s="36" t="n">
        <v>498800</v>
      </c>
      <c r="C123" s="37" t="n">
        <v>16.5</v>
      </c>
    </row>
    <row r="124" customFormat="false" ht="14.25" hidden="false" customHeight="false" outlineLevel="0" collapsed="false">
      <c r="A124" s="35" t="n">
        <v>39156</v>
      </c>
      <c r="B124" s="36" t="n">
        <v>470931</v>
      </c>
      <c r="C124" s="37" t="n">
        <v>16.5</v>
      </c>
    </row>
    <row r="125" customFormat="false" ht="14.25" hidden="false" customHeight="false" outlineLevel="0" collapsed="false">
      <c r="A125" s="35" t="n">
        <v>39164</v>
      </c>
      <c r="B125" s="36" t="n">
        <v>225000</v>
      </c>
      <c r="C125" s="37" t="n">
        <v>16.55</v>
      </c>
    </row>
    <row r="126" customFormat="false" ht="14.25" hidden="false" customHeight="false" outlineLevel="0" collapsed="false">
      <c r="A126" s="35" t="n">
        <v>39164</v>
      </c>
      <c r="B126" s="36" t="n">
        <v>775000</v>
      </c>
      <c r="C126" s="37" t="n">
        <v>16.55</v>
      </c>
    </row>
    <row r="127" customFormat="false" ht="14.25" hidden="false" customHeight="false" outlineLevel="0" collapsed="false">
      <c r="A127" s="35" t="n">
        <v>39164</v>
      </c>
      <c r="B127" s="36" t="n">
        <v>225000</v>
      </c>
      <c r="C127" s="37" t="n">
        <v>16.55</v>
      </c>
    </row>
    <row r="128" customFormat="false" ht="14.25" hidden="false" customHeight="false" outlineLevel="0" collapsed="false">
      <c r="A128" s="35" t="n">
        <v>39164</v>
      </c>
      <c r="B128" s="36" t="n">
        <v>675000</v>
      </c>
      <c r="C128" s="37" t="n">
        <v>16.55</v>
      </c>
    </row>
    <row r="129" customFormat="false" ht="14.25" hidden="false" customHeight="false" outlineLevel="0" collapsed="false">
      <c r="A129" s="35" t="n">
        <v>39195</v>
      </c>
      <c r="B129" s="36" t="n">
        <v>100000</v>
      </c>
      <c r="C129" s="37" t="n">
        <v>16.5</v>
      </c>
    </row>
    <row r="130" customFormat="false" ht="14.25" hidden="false" customHeight="false" outlineLevel="0" collapsed="false">
      <c r="A130" s="35" t="n">
        <v>39204</v>
      </c>
      <c r="B130" s="36" t="n">
        <v>225141</v>
      </c>
      <c r="C130" s="37" t="n">
        <v>17.1</v>
      </c>
    </row>
    <row r="131" customFormat="false" ht="14.25" hidden="false" customHeight="false" outlineLevel="0" collapsed="false">
      <c r="A131" s="35" t="n">
        <v>39218</v>
      </c>
      <c r="B131" s="36" t="n">
        <v>2230</v>
      </c>
      <c r="C131" s="37" t="n">
        <v>17.5</v>
      </c>
    </row>
    <row r="132" customFormat="false" ht="14.25" hidden="false" customHeight="false" outlineLevel="0" collapsed="false">
      <c r="A132" s="35" t="n">
        <v>39219</v>
      </c>
      <c r="B132" s="36" t="n">
        <v>66890</v>
      </c>
      <c r="C132" s="37" t="n">
        <v>17.5</v>
      </c>
    </row>
    <row r="133" customFormat="false" ht="14.25" hidden="false" customHeight="false" outlineLevel="0" collapsed="false">
      <c r="A133" s="35" t="n">
        <v>39233</v>
      </c>
      <c r="B133" s="36" t="n">
        <v>50000</v>
      </c>
      <c r="C133" s="37" t="n">
        <v>17.5</v>
      </c>
    </row>
    <row r="134" customFormat="false" ht="14.25" hidden="false" customHeight="false" outlineLevel="0" collapsed="false">
      <c r="A134" s="35" t="n">
        <v>39241</v>
      </c>
      <c r="B134" s="36" t="n">
        <v>540000</v>
      </c>
      <c r="C134" s="37" t="n">
        <v>17.5</v>
      </c>
    </row>
    <row r="135" customFormat="false" ht="14.25" hidden="false" customHeight="false" outlineLevel="0" collapsed="false">
      <c r="A135" s="35" t="n">
        <v>39252</v>
      </c>
      <c r="B135" s="36" t="n">
        <v>540000</v>
      </c>
      <c r="C135" s="37" t="n">
        <v>19.15</v>
      </c>
    </row>
    <row r="136" customFormat="false" ht="14.25" hidden="false" customHeight="false" outlineLevel="0" collapsed="false">
      <c r="A136" s="35" t="n">
        <v>39254</v>
      </c>
      <c r="B136" s="36" t="n">
        <v>711052</v>
      </c>
      <c r="C136" s="37" t="n">
        <v>19.15</v>
      </c>
    </row>
    <row r="137" customFormat="false" ht="14.25" hidden="false" customHeight="false" outlineLevel="0" collapsed="false">
      <c r="A137" s="35" t="n">
        <v>39255</v>
      </c>
      <c r="B137" s="36" t="n">
        <v>96348</v>
      </c>
      <c r="C137" s="37" t="n">
        <v>19.15</v>
      </c>
    </row>
    <row r="138" customFormat="false" ht="14.25" hidden="false" customHeight="false" outlineLevel="0" collapsed="false">
      <c r="A138" s="35" t="n">
        <v>39259</v>
      </c>
      <c r="B138" s="36" t="n">
        <v>2444714</v>
      </c>
      <c r="C138" s="37" t="n">
        <v>19.63</v>
      </c>
      <c r="D138" s="25" t="s">
        <v>9</v>
      </c>
    </row>
    <row r="139" customFormat="false" ht="14.25" hidden="false" customHeight="false" outlineLevel="0" collapsed="false">
      <c r="A139" s="35" t="n">
        <v>39261</v>
      </c>
      <c r="B139" s="36" t="n">
        <v>800000</v>
      </c>
      <c r="C139" s="37" t="n">
        <v>20</v>
      </c>
    </row>
    <row r="140" customFormat="false" ht="14.25" hidden="false" customHeight="false" outlineLevel="0" collapsed="false">
      <c r="A140" s="35" t="n">
        <v>39266</v>
      </c>
      <c r="B140" s="36" t="n">
        <v>72521</v>
      </c>
      <c r="C140" s="37" t="n">
        <v>20</v>
      </c>
    </row>
    <row r="141" customFormat="false" ht="14.25" hidden="false" customHeight="false" outlineLevel="0" collapsed="false">
      <c r="A141" s="35" t="n">
        <v>39268</v>
      </c>
      <c r="B141" s="36" t="n">
        <v>1469522</v>
      </c>
      <c r="C141" s="37" t="n">
        <v>20.5</v>
      </c>
    </row>
    <row r="142" customFormat="false" ht="14.25" hidden="false" customHeight="false" outlineLevel="0" collapsed="false">
      <c r="A142" s="35" t="n">
        <v>39272</v>
      </c>
      <c r="B142" s="36" t="n">
        <v>253175</v>
      </c>
      <c r="C142" s="37" t="n">
        <v>21</v>
      </c>
    </row>
    <row r="143" customFormat="false" ht="14.25" hidden="false" customHeight="false" outlineLevel="0" collapsed="false">
      <c r="A143" s="35" t="n">
        <v>39280</v>
      </c>
      <c r="B143" s="36" t="n">
        <v>49300</v>
      </c>
      <c r="C143" s="37" t="n">
        <v>21</v>
      </c>
    </row>
    <row r="144" customFormat="false" ht="14.25" hidden="false" customHeight="false" outlineLevel="0" collapsed="false">
      <c r="A144" s="35" t="n">
        <v>39281</v>
      </c>
      <c r="B144" s="36" t="n">
        <v>648622</v>
      </c>
      <c r="C144" s="37" t="n">
        <v>20.95</v>
      </c>
      <c r="D144" s="25" t="s">
        <v>9</v>
      </c>
    </row>
    <row r="145" customFormat="false" ht="14.25" hidden="false" customHeight="false" outlineLevel="0" collapsed="false">
      <c r="A145" s="35" t="n">
        <v>39288</v>
      </c>
      <c r="B145" s="36" t="n">
        <v>777000</v>
      </c>
      <c r="C145" s="37" t="n">
        <v>21</v>
      </c>
    </row>
    <row r="146" customFormat="false" ht="14.25" hidden="false" customHeight="false" outlineLevel="0" collapsed="false">
      <c r="A146" s="35" t="n">
        <v>39290</v>
      </c>
      <c r="B146" s="36" t="n">
        <v>500000</v>
      </c>
      <c r="C146" s="37" t="n">
        <v>21.35</v>
      </c>
    </row>
    <row r="147" customFormat="false" ht="14.25" hidden="false" customHeight="false" outlineLevel="0" collapsed="false">
      <c r="A147" s="35" t="n">
        <v>39294</v>
      </c>
      <c r="B147" s="36" t="n">
        <v>1107500</v>
      </c>
      <c r="C147" s="37" t="n">
        <v>21.56</v>
      </c>
    </row>
    <row r="148" customFormat="false" ht="14.25" hidden="false" customHeight="false" outlineLevel="0" collapsed="false">
      <c r="A148" s="35" t="n">
        <v>39297</v>
      </c>
      <c r="B148" s="36" t="n">
        <v>1000000</v>
      </c>
      <c r="C148" s="37" t="n">
        <v>22</v>
      </c>
    </row>
    <row r="149" customFormat="false" ht="14.25" hidden="false" customHeight="false" outlineLevel="0" collapsed="false">
      <c r="A149" s="35" t="n">
        <v>39301</v>
      </c>
      <c r="B149" s="36" t="n">
        <v>2305386</v>
      </c>
      <c r="C149" s="37" t="n">
        <v>22.08</v>
      </c>
    </row>
    <row r="150" customFormat="false" ht="14.25" hidden="false" customHeight="false" outlineLevel="0" collapsed="false">
      <c r="A150" s="35" t="n">
        <v>39304</v>
      </c>
      <c r="B150" s="36" t="n">
        <v>303017</v>
      </c>
      <c r="C150" s="37" t="n">
        <v>22.12</v>
      </c>
    </row>
    <row r="151" customFormat="false" ht="14.25" hidden="false" customHeight="false" outlineLevel="0" collapsed="false">
      <c r="A151" s="35" t="n">
        <v>39308</v>
      </c>
      <c r="B151" s="36" t="n">
        <v>500000</v>
      </c>
      <c r="C151" s="37" t="n">
        <v>22.2</v>
      </c>
    </row>
    <row r="152" customFormat="false" ht="14.25" hidden="false" customHeight="false" outlineLevel="0" collapsed="false">
      <c r="A152" s="35" t="n">
        <v>39315</v>
      </c>
      <c r="B152" s="36" t="n">
        <v>500000</v>
      </c>
      <c r="C152" s="37" t="n">
        <v>22.5</v>
      </c>
    </row>
    <row r="153" customFormat="false" ht="14.25" hidden="false" customHeight="false" outlineLevel="0" collapsed="false">
      <c r="A153" s="35" t="n">
        <v>39321</v>
      </c>
      <c r="B153" s="36" t="n">
        <v>20000</v>
      </c>
      <c r="C153" s="37" t="n">
        <v>22.66</v>
      </c>
      <c r="D153" s="25" t="s">
        <v>9</v>
      </c>
    </row>
    <row r="154" customFormat="false" ht="14.25" hidden="false" customHeight="false" outlineLevel="0" collapsed="false">
      <c r="A154" s="35" t="n">
        <v>39323</v>
      </c>
      <c r="B154" s="36" t="n">
        <v>740000</v>
      </c>
      <c r="C154" s="37" t="n">
        <v>22.82</v>
      </c>
    </row>
    <row r="155" customFormat="false" ht="14.25" hidden="false" customHeight="false" outlineLevel="0" collapsed="false">
      <c r="A155" s="35" t="n">
        <v>39325</v>
      </c>
      <c r="B155" s="36" t="n">
        <v>598112</v>
      </c>
      <c r="C155" s="37" t="n">
        <v>22.5</v>
      </c>
    </row>
    <row r="156" customFormat="false" ht="14.25" hidden="false" customHeight="false" outlineLevel="0" collapsed="false">
      <c r="A156" s="35" t="n">
        <v>39329</v>
      </c>
      <c r="B156" s="36" t="n">
        <v>312958</v>
      </c>
      <c r="C156" s="37" t="n">
        <v>22.53</v>
      </c>
    </row>
    <row r="157" customFormat="false" ht="14.25" hidden="false" customHeight="false" outlineLevel="0" collapsed="false">
      <c r="A157" s="35" t="n">
        <v>39337</v>
      </c>
      <c r="B157" s="36" t="n">
        <v>2809150</v>
      </c>
      <c r="C157" s="37" t="n">
        <v>22.51</v>
      </c>
    </row>
    <row r="158" customFormat="false" ht="14.25" hidden="false" customHeight="false" outlineLevel="0" collapsed="false">
      <c r="A158" s="35" t="n">
        <v>39339</v>
      </c>
      <c r="B158" s="36" t="n">
        <v>10000</v>
      </c>
      <c r="C158" s="37" t="n">
        <v>22.51</v>
      </c>
    </row>
    <row r="159" customFormat="false" ht="14.25" hidden="false" customHeight="false" outlineLevel="0" collapsed="false">
      <c r="A159" s="35" t="n">
        <v>39342</v>
      </c>
      <c r="B159" s="36" t="n">
        <v>38022</v>
      </c>
      <c r="C159" s="37" t="n">
        <v>22.5</v>
      </c>
    </row>
    <row r="160" customFormat="false" ht="14.25" hidden="false" customHeight="false" outlineLevel="0" collapsed="false">
      <c r="A160" s="35" t="n">
        <v>39343</v>
      </c>
      <c r="B160" s="36" t="n">
        <v>217500</v>
      </c>
      <c r="C160" s="37" t="n">
        <v>22.5</v>
      </c>
    </row>
    <row r="161" customFormat="false" ht="14.25" hidden="false" customHeight="false" outlineLevel="0" collapsed="false">
      <c r="A161" s="35" t="n">
        <v>39344</v>
      </c>
      <c r="B161" s="36" t="n">
        <v>4550772</v>
      </c>
      <c r="C161" s="37" t="n">
        <v>22.5</v>
      </c>
    </row>
    <row r="162" customFormat="false" ht="14.25" hidden="false" customHeight="false" outlineLevel="0" collapsed="false">
      <c r="A162" s="35" t="n">
        <v>39345</v>
      </c>
      <c r="B162" s="36" t="n">
        <v>61978</v>
      </c>
      <c r="C162" s="37" t="n">
        <v>22.6</v>
      </c>
    </row>
    <row r="163" customFormat="false" ht="14.25" hidden="false" customHeight="false" outlineLevel="0" collapsed="false">
      <c r="A163" s="35" t="n">
        <v>39350</v>
      </c>
      <c r="B163" s="36" t="n">
        <v>19041</v>
      </c>
      <c r="C163" s="37" t="n">
        <v>22.55</v>
      </c>
    </row>
    <row r="164" customFormat="false" ht="14.25" hidden="false" customHeight="false" outlineLevel="0" collapsed="false">
      <c r="A164" s="35" t="n">
        <v>39351</v>
      </c>
      <c r="B164" s="36" t="n">
        <v>33200</v>
      </c>
      <c r="C164" s="37" t="n">
        <v>22.65</v>
      </c>
    </row>
    <row r="165" customFormat="false" ht="14.25" hidden="false" customHeight="false" outlineLevel="0" collapsed="false">
      <c r="A165" s="35" t="n">
        <v>39353</v>
      </c>
      <c r="B165" s="36" t="n">
        <v>38148</v>
      </c>
      <c r="C165" s="37" t="n">
        <v>22.6</v>
      </c>
    </row>
    <row r="166" customFormat="false" ht="14.25" hidden="false" customHeight="false" outlineLevel="0" collapsed="false">
      <c r="A166" s="35" t="n">
        <v>39360</v>
      </c>
      <c r="B166" s="36" t="n">
        <v>1467057</v>
      </c>
      <c r="C166" s="37" t="n">
        <v>22.32</v>
      </c>
      <c r="D166" s="25" t="s">
        <v>9</v>
      </c>
    </row>
    <row r="167" customFormat="false" ht="14.25" hidden="false" customHeight="false" outlineLevel="0" collapsed="false">
      <c r="A167" s="35" t="n">
        <v>39370</v>
      </c>
      <c r="B167" s="36" t="n">
        <v>45500</v>
      </c>
      <c r="C167" s="37" t="n">
        <v>22.4</v>
      </c>
    </row>
    <row r="168" customFormat="false" ht="14.25" hidden="false" customHeight="false" outlineLevel="0" collapsed="false">
      <c r="A168" s="35" t="n">
        <v>39377</v>
      </c>
      <c r="B168" s="36" t="n">
        <v>2159628</v>
      </c>
      <c r="C168" s="37" t="n">
        <v>22.74</v>
      </c>
      <c r="D168" s="25" t="s">
        <v>9</v>
      </c>
    </row>
    <row r="169" customFormat="false" ht="14.25" hidden="false" customHeight="false" outlineLevel="0" collapsed="false">
      <c r="A169" s="35" t="n">
        <v>39379</v>
      </c>
      <c r="B169" s="36" t="n">
        <v>13262293</v>
      </c>
      <c r="C169" s="37" t="n">
        <v>22.5</v>
      </c>
    </row>
    <row r="170" customFormat="false" ht="14.25" hidden="false" customHeight="false" outlineLevel="0" collapsed="false">
      <c r="A170" s="35" t="n">
        <v>39386</v>
      </c>
      <c r="B170" s="36" t="n">
        <v>759340</v>
      </c>
      <c r="C170" s="37" t="n">
        <v>22.9</v>
      </c>
    </row>
    <row r="171" customFormat="false" ht="14.25" hidden="false" customHeight="false" outlineLevel="0" collapsed="false">
      <c r="A171" s="35" t="n">
        <v>39388</v>
      </c>
      <c r="B171" s="36" t="n">
        <v>147525</v>
      </c>
      <c r="C171" s="37" t="n">
        <v>22.65</v>
      </c>
    </row>
    <row r="172" customFormat="false" ht="14.25" hidden="false" customHeight="false" outlineLevel="0" collapsed="false">
      <c r="A172" s="35" t="n">
        <v>39391</v>
      </c>
      <c r="B172" s="36" t="n">
        <v>25448</v>
      </c>
      <c r="C172" s="37" t="n">
        <v>22.65</v>
      </c>
    </row>
    <row r="173" customFormat="false" ht="14.25" hidden="false" customHeight="false" outlineLevel="0" collapsed="false">
      <c r="A173" s="35" t="n">
        <v>39394</v>
      </c>
      <c r="B173" s="36" t="n">
        <v>1806833</v>
      </c>
      <c r="C173" s="37" t="n">
        <v>22.83</v>
      </c>
      <c r="D173" s="25" t="s">
        <v>9</v>
      </c>
    </row>
    <row r="174" customFormat="false" ht="14.25" hidden="false" customHeight="false" outlineLevel="0" collapsed="false">
      <c r="A174" s="35" t="n">
        <v>39400</v>
      </c>
      <c r="B174" s="36" t="n">
        <v>1000000</v>
      </c>
      <c r="C174" s="37" t="n">
        <v>22.8</v>
      </c>
    </row>
    <row r="175" customFormat="false" ht="14.25" hidden="false" customHeight="false" outlineLevel="0" collapsed="false">
      <c r="A175" s="35" t="n">
        <v>39408</v>
      </c>
      <c r="B175" s="36" t="n">
        <v>257150</v>
      </c>
      <c r="C175" s="37" t="n">
        <v>22.5</v>
      </c>
    </row>
    <row r="176" customFormat="false" ht="14.25" hidden="false" customHeight="false" outlineLevel="0" collapsed="false">
      <c r="A176" s="35" t="n">
        <v>39427</v>
      </c>
      <c r="B176" s="36" t="n">
        <v>9230</v>
      </c>
      <c r="C176" s="37" t="n">
        <v>22.74</v>
      </c>
    </row>
    <row r="177" customFormat="false" ht="14.25" hidden="false" customHeight="false" outlineLevel="0" collapsed="false">
      <c r="A177" s="35" t="n">
        <v>39428</v>
      </c>
      <c r="B177" s="36" t="n">
        <v>131685</v>
      </c>
      <c r="C177" s="37" t="n">
        <v>22.78</v>
      </c>
    </row>
    <row r="178" customFormat="false" ht="14.25" hidden="false" customHeight="false" outlineLevel="0" collapsed="false">
      <c r="A178" s="35" t="n">
        <v>39430</v>
      </c>
      <c r="B178" s="36" t="n">
        <v>500000</v>
      </c>
      <c r="C178" s="37" t="n">
        <v>22.8</v>
      </c>
    </row>
    <row r="179" customFormat="false" ht="14.25" hidden="false" customHeight="false" outlineLevel="0" collapsed="false">
      <c r="A179" s="35" t="n">
        <v>39433</v>
      </c>
      <c r="B179" s="36" t="n">
        <v>213205116</v>
      </c>
      <c r="C179" s="37" t="n">
        <v>22.91</v>
      </c>
    </row>
    <row r="180" customFormat="false" ht="14.25" hidden="false" customHeight="false" outlineLevel="0" collapsed="false">
      <c r="A180" s="38" t="n">
        <v>39450</v>
      </c>
      <c r="B180" s="39" t="n">
        <v>17990</v>
      </c>
      <c r="C180" s="40" t="n">
        <v>22.92</v>
      </c>
    </row>
    <row r="181" customFormat="false" ht="14.25" hidden="false" customHeight="false" outlineLevel="0" collapsed="false">
      <c r="A181" s="38" t="n">
        <v>39456</v>
      </c>
      <c r="B181" s="39" t="n">
        <v>480000</v>
      </c>
      <c r="C181" s="40" t="n">
        <v>24</v>
      </c>
    </row>
    <row r="182" customFormat="false" ht="14.25" hidden="false" customHeight="false" outlineLevel="0" collapsed="false">
      <c r="A182" s="38" t="n">
        <v>39458</v>
      </c>
      <c r="B182" s="39" t="n">
        <v>27000</v>
      </c>
      <c r="C182" s="40" t="n">
        <v>24.03</v>
      </c>
    </row>
    <row r="183" customFormat="false" ht="14.25" hidden="false" customHeight="false" outlineLevel="0" collapsed="false">
      <c r="A183" s="38" t="n">
        <v>39458</v>
      </c>
      <c r="B183" s="39" t="n">
        <v>83000</v>
      </c>
      <c r="C183" s="40" t="n">
        <v>24</v>
      </c>
    </row>
    <row r="184" customFormat="false" ht="14.25" hidden="false" customHeight="false" outlineLevel="0" collapsed="false">
      <c r="A184" s="38" t="n">
        <v>39462</v>
      </c>
      <c r="B184" s="39" t="n">
        <v>147000</v>
      </c>
      <c r="C184" s="40" t="n">
        <v>24.2</v>
      </c>
    </row>
    <row r="185" customFormat="false" ht="14.25" hidden="false" customHeight="false" outlineLevel="0" collapsed="false">
      <c r="A185" s="38" t="n">
        <v>39471</v>
      </c>
      <c r="B185" s="39" t="n">
        <v>17752</v>
      </c>
      <c r="C185" s="40" t="n">
        <v>24.21</v>
      </c>
    </row>
    <row r="186" customFormat="false" ht="14.25" hidden="false" customHeight="false" outlineLevel="0" collapsed="false">
      <c r="A186" s="38" t="n">
        <v>39475</v>
      </c>
      <c r="B186" s="39" t="n">
        <v>780700</v>
      </c>
      <c r="C186" s="40" t="n">
        <v>25.35</v>
      </c>
    </row>
    <row r="187" customFormat="false" ht="14.25" hidden="false" customHeight="false" outlineLevel="0" collapsed="false">
      <c r="A187" s="38" t="n">
        <v>39476</v>
      </c>
      <c r="B187" s="39" t="n">
        <v>604240</v>
      </c>
      <c r="C187" s="40" t="n">
        <v>25.87</v>
      </c>
    </row>
    <row r="188" customFormat="false" ht="14.25" hidden="false" customHeight="false" outlineLevel="0" collapsed="false">
      <c r="A188" s="38" t="n">
        <v>39477</v>
      </c>
      <c r="B188" s="39" t="n">
        <v>200000</v>
      </c>
      <c r="C188" s="40" t="n">
        <v>26.8</v>
      </c>
    </row>
    <row r="189" customFormat="false" ht="14.25" hidden="false" customHeight="false" outlineLevel="0" collapsed="false">
      <c r="A189" s="38" t="n">
        <v>39478</v>
      </c>
      <c r="B189" s="39" t="n">
        <v>37340</v>
      </c>
      <c r="C189" s="40" t="n">
        <v>27.5</v>
      </c>
    </row>
    <row r="190" customFormat="false" ht="14.25" hidden="false" customHeight="false" outlineLevel="0" collapsed="false">
      <c r="A190" s="38" t="n">
        <v>39479</v>
      </c>
      <c r="B190" s="39" t="n">
        <v>615549</v>
      </c>
      <c r="C190" s="40" t="n">
        <v>27.61</v>
      </c>
    </row>
    <row r="191" customFormat="false" ht="14.25" hidden="false" customHeight="false" outlineLevel="0" collapsed="false">
      <c r="A191" s="38" t="n">
        <v>39485</v>
      </c>
      <c r="B191" s="39" t="n">
        <v>370285</v>
      </c>
      <c r="C191" s="40" t="n">
        <v>27.59</v>
      </c>
    </row>
    <row r="192" customFormat="false" ht="14.25" hidden="false" customHeight="false" outlineLevel="0" collapsed="false">
      <c r="A192" s="38" t="n">
        <v>39500</v>
      </c>
      <c r="B192" s="39" t="n">
        <v>54715</v>
      </c>
      <c r="C192" s="40" t="n">
        <v>27.95</v>
      </c>
    </row>
    <row r="193" customFormat="false" ht="14.25" hidden="false" customHeight="false" outlineLevel="0" collapsed="false">
      <c r="A193" s="38" t="n">
        <v>39501</v>
      </c>
      <c r="B193" s="39" t="n">
        <v>500000</v>
      </c>
      <c r="C193" s="40" t="n">
        <v>28.5</v>
      </c>
    </row>
    <row r="194" customFormat="false" ht="14.25" hidden="false" customHeight="false" outlineLevel="0" collapsed="false">
      <c r="A194" s="38" t="n">
        <v>39504</v>
      </c>
      <c r="B194" s="39" t="n">
        <v>1000000</v>
      </c>
      <c r="C194" s="40" t="n">
        <v>31.5</v>
      </c>
    </row>
    <row r="195" customFormat="false" ht="14.25" hidden="false" customHeight="false" outlineLevel="0" collapsed="false">
      <c r="A195" s="38" t="n">
        <v>39507</v>
      </c>
      <c r="B195" s="39" t="n">
        <v>79090</v>
      </c>
      <c r="C195" s="40" t="n">
        <v>35</v>
      </c>
    </row>
    <row r="196" customFormat="false" ht="14.25" hidden="false" customHeight="false" outlineLevel="0" collapsed="false">
      <c r="A196" s="38" t="n">
        <v>39511</v>
      </c>
      <c r="B196" s="39" t="n">
        <v>24845</v>
      </c>
      <c r="C196" s="40" t="n">
        <v>35.05</v>
      </c>
    </row>
    <row r="197" customFormat="false" ht="14.25" hidden="false" customHeight="false" outlineLevel="0" collapsed="false">
      <c r="A197" s="38" t="n">
        <v>39519</v>
      </c>
      <c r="B197" s="39" t="n">
        <v>1823628</v>
      </c>
      <c r="C197" s="40" t="n">
        <v>35.7</v>
      </c>
    </row>
    <row r="198" customFormat="false" ht="14.25" hidden="false" customHeight="false" outlineLevel="0" collapsed="false">
      <c r="A198" s="38" t="n">
        <v>39520</v>
      </c>
      <c r="B198" s="39" t="n">
        <v>1097835</v>
      </c>
      <c r="C198" s="40" t="n">
        <v>39.9</v>
      </c>
    </row>
    <row r="199" customFormat="false" ht="14.25" hidden="false" customHeight="false" outlineLevel="0" collapsed="false">
      <c r="A199" s="38" t="n">
        <v>39521</v>
      </c>
      <c r="B199" s="39" t="n">
        <v>242165</v>
      </c>
      <c r="C199" s="40" t="n">
        <v>42.1</v>
      </c>
    </row>
    <row r="200" customFormat="false" ht="14.25" hidden="false" customHeight="false" outlineLevel="0" collapsed="false">
      <c r="A200" s="38" t="n">
        <v>39528</v>
      </c>
      <c r="B200" s="39" t="n">
        <v>25000</v>
      </c>
      <c r="C200" s="40" t="n">
        <v>40</v>
      </c>
    </row>
    <row r="201" customFormat="false" ht="14.25" hidden="false" customHeight="false" outlineLevel="0" collapsed="false">
      <c r="A201" s="38" t="n">
        <v>39531</v>
      </c>
      <c r="B201" s="39" t="n">
        <v>1188400</v>
      </c>
      <c r="C201" s="40" t="n">
        <v>40</v>
      </c>
    </row>
    <row r="202" customFormat="false" ht="14.25" hidden="false" customHeight="false" outlineLevel="0" collapsed="false">
      <c r="A202" s="38" t="n">
        <v>39532</v>
      </c>
      <c r="B202" s="39" t="n">
        <v>1000000</v>
      </c>
      <c r="C202" s="40" t="n">
        <v>40</v>
      </c>
    </row>
    <row r="203" customFormat="false" ht="14.25" hidden="false" customHeight="false" outlineLevel="0" collapsed="false">
      <c r="A203" s="38" t="n">
        <v>39533</v>
      </c>
      <c r="B203" s="39" t="n">
        <v>2000000</v>
      </c>
      <c r="C203" s="40" t="n">
        <v>40</v>
      </c>
    </row>
    <row r="204" customFormat="false" ht="14.25" hidden="false" customHeight="false" outlineLevel="0" collapsed="false">
      <c r="A204" s="38" t="n">
        <v>39534</v>
      </c>
      <c r="B204" s="39" t="n">
        <v>3000000</v>
      </c>
      <c r="C204" s="40" t="n">
        <v>40</v>
      </c>
    </row>
    <row r="205" customFormat="false" ht="14.25" hidden="false" customHeight="false" outlineLevel="0" collapsed="false">
      <c r="A205" s="38" t="n">
        <v>39535</v>
      </c>
      <c r="B205" s="39" t="n">
        <v>6366353</v>
      </c>
      <c r="C205" s="40" t="n">
        <v>40</v>
      </c>
    </row>
    <row r="206" customFormat="false" ht="14.25" hidden="false" customHeight="false" outlineLevel="0" collapsed="false">
      <c r="A206" s="38" t="n">
        <v>39538</v>
      </c>
      <c r="B206" s="39" t="n">
        <v>633647</v>
      </c>
      <c r="C206" s="40" t="n">
        <v>40</v>
      </c>
    </row>
    <row r="207" customFormat="false" ht="14.25" hidden="false" customHeight="false" outlineLevel="0" collapsed="false">
      <c r="A207" s="38" t="n">
        <v>39539</v>
      </c>
      <c r="B207" s="39" t="n">
        <v>544433</v>
      </c>
      <c r="C207" s="40" t="n">
        <v>40</v>
      </c>
    </row>
    <row r="208" customFormat="false" ht="14.25" hidden="false" customHeight="false" outlineLevel="0" collapsed="false">
      <c r="A208" s="38" t="n">
        <v>39540</v>
      </c>
      <c r="B208" s="39" t="n">
        <v>300000</v>
      </c>
      <c r="C208" s="40" t="n">
        <v>40</v>
      </c>
    </row>
    <row r="209" customFormat="false" ht="14.25" hidden="false" customHeight="false" outlineLevel="0" collapsed="false">
      <c r="A209" s="38" t="n">
        <v>39546</v>
      </c>
      <c r="B209" s="39" t="n">
        <v>4027721</v>
      </c>
      <c r="C209" s="40" t="n">
        <v>40.15</v>
      </c>
    </row>
    <row r="210" customFormat="false" ht="14.25" hidden="false" customHeight="false" outlineLevel="0" collapsed="false">
      <c r="A210" s="38" t="n">
        <v>39547</v>
      </c>
      <c r="B210" s="39" t="n">
        <v>289457</v>
      </c>
      <c r="C210" s="40" t="n">
        <v>40.2</v>
      </c>
    </row>
    <row r="211" customFormat="false" ht="14.25" hidden="false" customHeight="false" outlineLevel="0" collapsed="false">
      <c r="A211" s="38" t="n">
        <v>39549</v>
      </c>
      <c r="B211" s="39" t="n">
        <v>951220</v>
      </c>
      <c r="C211" s="40" t="n">
        <v>40.5</v>
      </c>
    </row>
    <row r="212" customFormat="false" ht="14.25" hidden="false" customHeight="false" outlineLevel="0" collapsed="false">
      <c r="A212" s="38" t="n">
        <v>39553</v>
      </c>
      <c r="B212" s="39" t="n">
        <v>2001220</v>
      </c>
      <c r="C212" s="40" t="n">
        <v>40.3</v>
      </c>
    </row>
    <row r="213" customFormat="false" ht="14.25" hidden="false" customHeight="false" outlineLevel="0" collapsed="false">
      <c r="A213" s="38" t="n">
        <v>39559</v>
      </c>
      <c r="B213" s="39" t="n">
        <v>1962372</v>
      </c>
      <c r="C213" s="40" t="n">
        <v>41</v>
      </c>
    </row>
    <row r="214" customFormat="false" ht="14.25" hidden="false" customHeight="false" outlineLevel="0" collapsed="false">
      <c r="A214" s="38" t="n">
        <v>39560</v>
      </c>
      <c r="B214" s="39" t="n">
        <v>159500</v>
      </c>
      <c r="C214" s="40" t="n">
        <v>41</v>
      </c>
    </row>
    <row r="215" customFormat="false" ht="14.25" hidden="false" customHeight="false" outlineLevel="0" collapsed="false">
      <c r="A215" s="38" t="n">
        <v>39563</v>
      </c>
      <c r="B215" s="39" t="n">
        <v>400000</v>
      </c>
      <c r="C215" s="40" t="n">
        <v>41</v>
      </c>
    </row>
    <row r="216" customFormat="false" ht="14.25" hidden="false" customHeight="false" outlineLevel="0" collapsed="false">
      <c r="A216" s="38" t="n">
        <v>39567</v>
      </c>
      <c r="B216" s="39" t="n">
        <v>500000</v>
      </c>
      <c r="C216" s="40" t="n">
        <v>41</v>
      </c>
    </row>
    <row r="217" customFormat="false" ht="14.25" hidden="false" customHeight="false" outlineLevel="0" collapsed="false">
      <c r="A217" s="38" t="n">
        <v>39568</v>
      </c>
      <c r="B217" s="39" t="n">
        <v>593895</v>
      </c>
      <c r="C217" s="40" t="n">
        <v>41</v>
      </c>
    </row>
    <row r="218" customFormat="false" ht="14.25" hidden="false" customHeight="false" outlineLevel="0" collapsed="false">
      <c r="A218" s="38" t="n">
        <v>39573</v>
      </c>
      <c r="B218" s="39" t="n">
        <v>406650</v>
      </c>
      <c r="C218" s="40" t="n">
        <v>41</v>
      </c>
    </row>
    <row r="219" customFormat="false" ht="14.25" hidden="false" customHeight="false" outlineLevel="0" collapsed="false">
      <c r="A219" s="38" t="n">
        <v>39575</v>
      </c>
      <c r="B219" s="39" t="n">
        <v>1023515</v>
      </c>
      <c r="C219" s="40" t="n">
        <v>41</v>
      </c>
    </row>
    <row r="220" customFormat="false" ht="14.25" hidden="false" customHeight="false" outlineLevel="0" collapsed="false">
      <c r="A220" s="38" t="n">
        <v>39576</v>
      </c>
      <c r="B220" s="39" t="n">
        <v>1098587</v>
      </c>
      <c r="C220" s="40" t="n">
        <v>41</v>
      </c>
    </row>
    <row r="221" customFormat="false" ht="14.25" hidden="false" customHeight="false" outlineLevel="0" collapsed="false">
      <c r="A221" s="38" t="n">
        <v>39577</v>
      </c>
      <c r="B221" s="39" t="n">
        <v>424960</v>
      </c>
      <c r="C221" s="40" t="n">
        <v>41</v>
      </c>
    </row>
    <row r="222" customFormat="false" ht="14.25" hidden="false" customHeight="false" outlineLevel="0" collapsed="false">
      <c r="A222" s="38" t="n">
        <v>39580</v>
      </c>
      <c r="B222" s="39" t="n">
        <v>500000</v>
      </c>
      <c r="C222" s="40" t="n">
        <v>41</v>
      </c>
    </row>
    <row r="223" customFormat="false" ht="14.25" hidden="false" customHeight="false" outlineLevel="0" collapsed="false">
      <c r="A223" s="38" t="n">
        <v>39582</v>
      </c>
      <c r="B223" s="39" t="n">
        <v>3386</v>
      </c>
      <c r="C223" s="40" t="n">
        <v>41.35</v>
      </c>
    </row>
    <row r="224" customFormat="false" ht="14.25" hidden="false" customHeight="false" outlineLevel="0" collapsed="false">
      <c r="A224" s="38" t="n">
        <v>39583</v>
      </c>
      <c r="B224" s="39" t="n">
        <v>653509</v>
      </c>
      <c r="C224" s="40" t="n">
        <v>41</v>
      </c>
    </row>
    <row r="225" customFormat="false" ht="14.25" hidden="false" customHeight="false" outlineLevel="0" collapsed="false">
      <c r="A225" s="38" t="n">
        <v>39584</v>
      </c>
      <c r="B225" s="39" t="n">
        <v>1330400</v>
      </c>
      <c r="C225" s="40" t="n">
        <v>41</v>
      </c>
    </row>
    <row r="226" customFormat="false" ht="14.25" hidden="false" customHeight="false" outlineLevel="0" collapsed="false">
      <c r="A226" s="38" t="n">
        <v>39588</v>
      </c>
      <c r="B226" s="39" t="n">
        <v>2090737</v>
      </c>
      <c r="C226" s="40" t="n">
        <v>41</v>
      </c>
    </row>
    <row r="227" customFormat="false" ht="14.25" hidden="false" customHeight="false" outlineLevel="0" collapsed="false">
      <c r="A227" s="38" t="n">
        <v>39589</v>
      </c>
      <c r="B227" s="39" t="n">
        <v>568182</v>
      </c>
      <c r="C227" s="40" t="n">
        <v>41</v>
      </c>
    </row>
    <row r="228" customFormat="false" ht="14.25" hidden="false" customHeight="false" outlineLevel="0" collapsed="false">
      <c r="A228" s="38" t="n">
        <v>39596</v>
      </c>
      <c r="B228" s="39" t="n">
        <v>2300667</v>
      </c>
      <c r="C228" s="40" t="n">
        <v>41</v>
      </c>
    </row>
    <row r="229" customFormat="false" ht="14.25" hidden="false" customHeight="false" outlineLevel="0" collapsed="false">
      <c r="A229" s="38" t="n">
        <v>39601</v>
      </c>
      <c r="B229" s="39" t="n">
        <v>306109</v>
      </c>
      <c r="C229" s="40" t="n">
        <v>41</v>
      </c>
    </row>
    <row r="230" customFormat="false" ht="14.25" hidden="false" customHeight="false" outlineLevel="0" collapsed="false">
      <c r="A230" s="38" t="n">
        <v>39603</v>
      </c>
      <c r="B230" s="39" t="n">
        <v>250000</v>
      </c>
      <c r="C230" s="40" t="n">
        <v>41</v>
      </c>
    </row>
    <row r="231" customFormat="false" ht="14.25" hidden="false" customHeight="false" outlineLevel="0" collapsed="false">
      <c r="A231" s="38" t="n">
        <v>39608</v>
      </c>
      <c r="B231" s="39" t="n">
        <v>1881599</v>
      </c>
      <c r="C231" s="40" t="n">
        <v>41</v>
      </c>
    </row>
    <row r="232" customFormat="false" ht="14.25" hidden="false" customHeight="false" outlineLevel="0" collapsed="false">
      <c r="A232" s="38" t="n">
        <v>39610</v>
      </c>
      <c r="B232" s="39" t="n">
        <v>12400</v>
      </c>
      <c r="C232" s="40" t="n">
        <v>41</v>
      </c>
    </row>
    <row r="233" customFormat="false" ht="14.25" hidden="false" customHeight="false" outlineLevel="0" collapsed="false">
      <c r="A233" s="38" t="n">
        <v>39611</v>
      </c>
      <c r="B233" s="39" t="n">
        <v>67790</v>
      </c>
      <c r="C233" s="40" t="n">
        <v>41</v>
      </c>
    </row>
    <row r="234" customFormat="false" ht="14.25" hidden="false" customHeight="false" outlineLevel="0" collapsed="false">
      <c r="A234" s="38" t="n">
        <v>39612</v>
      </c>
      <c r="B234" s="39" t="n">
        <v>881599</v>
      </c>
      <c r="C234" s="40" t="n">
        <v>41</v>
      </c>
    </row>
    <row r="235" customFormat="false" ht="14.25" hidden="false" customHeight="false" outlineLevel="0" collapsed="false">
      <c r="A235" s="38" t="n">
        <v>39616</v>
      </c>
      <c r="B235" s="39" t="n">
        <v>500000</v>
      </c>
      <c r="C235" s="40" t="n">
        <v>41</v>
      </c>
    </row>
    <row r="236" customFormat="false" ht="14.25" hidden="false" customHeight="false" outlineLevel="0" collapsed="false">
      <c r="A236" s="38" t="n">
        <v>39617</v>
      </c>
      <c r="B236" s="39" t="n">
        <v>250000</v>
      </c>
      <c r="C236" s="40" t="n">
        <v>41</v>
      </c>
    </row>
    <row r="237" customFormat="false" ht="14.25" hidden="false" customHeight="false" outlineLevel="0" collapsed="false">
      <c r="A237" s="38" t="n">
        <v>39618</v>
      </c>
      <c r="B237" s="39" t="n">
        <v>1000000</v>
      </c>
      <c r="C237" s="40" t="n">
        <v>41</v>
      </c>
    </row>
    <row r="238" customFormat="false" ht="14.25" hidden="false" customHeight="false" outlineLevel="0" collapsed="false">
      <c r="A238" s="38" t="n">
        <v>39619</v>
      </c>
      <c r="B238" s="39" t="n">
        <v>2210000</v>
      </c>
      <c r="C238" s="40" t="n">
        <v>41</v>
      </c>
    </row>
    <row r="239" customFormat="false" ht="14.25" hidden="false" customHeight="false" outlineLevel="0" collapsed="false">
      <c r="A239" s="38" t="n">
        <v>39624</v>
      </c>
      <c r="B239" s="39" t="n">
        <v>270771</v>
      </c>
      <c r="C239" s="40" t="n">
        <v>41</v>
      </c>
    </row>
    <row r="240" customFormat="false" ht="14.25" hidden="false" customHeight="false" outlineLevel="0" collapsed="false">
      <c r="A240" s="38" t="n">
        <v>39625</v>
      </c>
      <c r="B240" s="39" t="n">
        <v>49000</v>
      </c>
      <c r="C240" s="40" t="n">
        <v>41</v>
      </c>
    </row>
    <row r="241" customFormat="false" ht="14.25" hidden="false" customHeight="false" outlineLevel="0" collapsed="false">
      <c r="A241" s="38" t="n">
        <v>39630</v>
      </c>
      <c r="B241" s="39" t="n">
        <v>200000</v>
      </c>
      <c r="C241" s="40" t="n">
        <v>41</v>
      </c>
    </row>
    <row r="242" customFormat="false" ht="14.25" hidden="false" customHeight="false" outlineLevel="0" collapsed="false">
      <c r="A242" s="38" t="n">
        <v>39632</v>
      </c>
      <c r="B242" s="39" t="n">
        <v>200000</v>
      </c>
      <c r="C242" s="40" t="n">
        <v>41</v>
      </c>
    </row>
    <row r="243" customFormat="false" ht="14.25" hidden="false" customHeight="false" outlineLevel="0" collapsed="false">
      <c r="A243" s="38" t="n">
        <v>39633</v>
      </c>
      <c r="B243" s="39" t="n">
        <v>1411005</v>
      </c>
      <c r="C243" s="40" t="n">
        <v>41</v>
      </c>
    </row>
    <row r="244" customFormat="false" ht="14.25" hidden="false" customHeight="false" outlineLevel="0" collapsed="false">
      <c r="A244" s="38" t="n">
        <v>39640</v>
      </c>
      <c r="B244" s="39" t="n">
        <v>306078</v>
      </c>
      <c r="C244" s="40" t="n">
        <v>41</v>
      </c>
    </row>
    <row r="245" customFormat="false" ht="14.25" hidden="false" customHeight="false" outlineLevel="0" collapsed="false">
      <c r="A245" s="38" t="n">
        <v>39644</v>
      </c>
      <c r="B245" s="39" t="n">
        <v>177015</v>
      </c>
      <c r="C245" s="40" t="n">
        <v>41</v>
      </c>
    </row>
    <row r="246" customFormat="false" ht="14.25" hidden="false" customHeight="false" outlineLevel="0" collapsed="false">
      <c r="A246" s="38" t="n">
        <v>39645</v>
      </c>
      <c r="B246" s="39" t="n">
        <v>766080</v>
      </c>
      <c r="C246" s="40" t="n">
        <v>41</v>
      </c>
    </row>
    <row r="247" customFormat="false" ht="14.25" hidden="false" customHeight="false" outlineLevel="0" collapsed="false">
      <c r="A247" s="38" t="n">
        <v>39647</v>
      </c>
      <c r="B247" s="39" t="n">
        <v>200000</v>
      </c>
      <c r="C247" s="40" t="n">
        <v>41</v>
      </c>
    </row>
    <row r="248" customFormat="false" ht="14.25" hidden="false" customHeight="false" outlineLevel="0" collapsed="false">
      <c r="A248" s="38" t="n">
        <v>39651</v>
      </c>
      <c r="B248" s="39" t="n">
        <v>24650</v>
      </c>
      <c r="C248" s="40" t="n">
        <v>41</v>
      </c>
    </row>
    <row r="249" customFormat="false" ht="14.25" hidden="false" customHeight="false" outlineLevel="0" collapsed="false">
      <c r="A249" s="38" t="n">
        <v>39653</v>
      </c>
      <c r="B249" s="39" t="n">
        <v>132500</v>
      </c>
      <c r="C249" s="40" t="n">
        <v>41</v>
      </c>
    </row>
    <row r="250" customFormat="false" ht="14.25" hidden="false" customHeight="false" outlineLevel="0" collapsed="false">
      <c r="A250" s="38" t="n">
        <v>39654</v>
      </c>
      <c r="B250" s="39" t="n">
        <v>65000</v>
      </c>
      <c r="C250" s="40" t="n">
        <v>41</v>
      </c>
    </row>
    <row r="251" customFormat="false" ht="14.25" hidden="false" customHeight="false" outlineLevel="0" collapsed="false">
      <c r="A251" s="38" t="n">
        <v>39658</v>
      </c>
      <c r="B251" s="39" t="n">
        <v>4030</v>
      </c>
      <c r="C251" s="40" t="n">
        <v>40</v>
      </c>
    </row>
    <row r="252" customFormat="false" ht="14.25" hidden="false" customHeight="false" outlineLevel="0" collapsed="false">
      <c r="A252" s="38" t="n">
        <v>39659</v>
      </c>
      <c r="B252" s="39" t="n">
        <v>1822440</v>
      </c>
      <c r="C252" s="40" t="n">
        <v>41.33</v>
      </c>
    </row>
    <row r="253" customFormat="false" ht="14.25" hidden="false" customHeight="false" outlineLevel="0" collapsed="false">
      <c r="A253" s="38" t="n">
        <v>39660</v>
      </c>
      <c r="B253" s="39" t="n">
        <v>72638</v>
      </c>
      <c r="C253" s="40" t="n">
        <v>41</v>
      </c>
    </row>
    <row r="254" customFormat="false" ht="14.25" hidden="false" customHeight="false" outlineLevel="0" collapsed="false">
      <c r="A254" s="38" t="n">
        <v>39696</v>
      </c>
      <c r="B254" s="39" t="n">
        <v>3300</v>
      </c>
      <c r="C254" s="40" t="n">
        <v>35</v>
      </c>
    </row>
    <row r="255" customFormat="false" ht="14.25" hidden="false" customHeight="false" outlineLevel="0" collapsed="false">
      <c r="A255" s="38" t="n">
        <v>39699</v>
      </c>
      <c r="B255" s="39" t="n">
        <v>10000</v>
      </c>
      <c r="C255" s="40" t="n">
        <v>36</v>
      </c>
    </row>
    <row r="256" customFormat="false" ht="14.25" hidden="false" customHeight="false" outlineLevel="0" collapsed="false">
      <c r="A256" s="38" t="n">
        <v>39708</v>
      </c>
      <c r="B256" s="39" t="n">
        <v>5555</v>
      </c>
      <c r="C256" s="40" t="n">
        <v>36</v>
      </c>
    </row>
    <row r="257" customFormat="false" ht="14.25" hidden="false" customHeight="false" outlineLevel="0" collapsed="false">
      <c r="A257" s="38" t="n">
        <v>39713</v>
      </c>
      <c r="B257" s="39" t="n">
        <v>50000</v>
      </c>
      <c r="C257" s="40" t="n">
        <v>32</v>
      </c>
    </row>
    <row r="258" customFormat="false" ht="14.25" hidden="false" customHeight="false" outlineLevel="0" collapsed="false">
      <c r="A258" s="38" t="n">
        <v>39716</v>
      </c>
      <c r="B258" s="39" t="n">
        <v>100000</v>
      </c>
      <c r="C258" s="40" t="n">
        <v>35.99</v>
      </c>
    </row>
    <row r="259" customFormat="false" ht="14.25" hidden="false" customHeight="false" outlineLevel="0" collapsed="false">
      <c r="A259" s="38" t="n">
        <v>39721</v>
      </c>
      <c r="B259" s="39" t="n">
        <v>4027</v>
      </c>
      <c r="C259" s="40" t="n">
        <v>35.99</v>
      </c>
    </row>
    <row r="260" customFormat="false" ht="14.25" hidden="false" customHeight="false" outlineLevel="0" collapsed="false">
      <c r="A260" s="38" t="n">
        <v>39723</v>
      </c>
      <c r="B260" s="39" t="n">
        <v>126827</v>
      </c>
      <c r="C260" s="40" t="n">
        <v>35.97</v>
      </c>
    </row>
    <row r="261" customFormat="false" ht="14.25" hidden="false" customHeight="false" outlineLevel="0" collapsed="false">
      <c r="A261" s="38" t="n">
        <v>39728</v>
      </c>
      <c r="B261" s="39" t="n">
        <v>657731</v>
      </c>
      <c r="C261" s="40" t="n">
        <v>35.99</v>
      </c>
    </row>
    <row r="262" customFormat="false" ht="14.25" hidden="false" customHeight="false" outlineLevel="0" collapsed="false">
      <c r="A262" s="38" t="n">
        <v>39729</v>
      </c>
      <c r="B262" s="39" t="n">
        <v>2993723</v>
      </c>
      <c r="C262" s="40" t="n">
        <v>36</v>
      </c>
    </row>
    <row r="263" customFormat="false" ht="14.25" hidden="false" customHeight="false" outlineLevel="0" collapsed="false">
      <c r="A263" s="38" t="n">
        <v>39730</v>
      </c>
      <c r="B263" s="39" t="n">
        <v>462744</v>
      </c>
      <c r="C263" s="40" t="n">
        <v>37</v>
      </c>
    </row>
    <row r="264" customFormat="false" ht="14.25" hidden="false" customHeight="false" outlineLevel="0" collapsed="false">
      <c r="A264" s="38" t="n">
        <v>39731</v>
      </c>
      <c r="B264" s="39" t="n">
        <v>1481599</v>
      </c>
      <c r="C264" s="40" t="n">
        <v>37</v>
      </c>
    </row>
    <row r="265" customFormat="false" ht="14.25" hidden="false" customHeight="false" outlineLevel="0" collapsed="false">
      <c r="A265" s="38" t="n">
        <v>39734</v>
      </c>
      <c r="B265" s="39" t="n">
        <v>800000</v>
      </c>
      <c r="C265" s="40" t="n">
        <v>37.25</v>
      </c>
    </row>
    <row r="266" customFormat="false" ht="14.25" hidden="false" customHeight="false" outlineLevel="0" collapsed="false">
      <c r="A266" s="38" t="n">
        <v>39737</v>
      </c>
      <c r="B266" s="39" t="n">
        <v>173812</v>
      </c>
      <c r="C266" s="40" t="n">
        <v>38</v>
      </c>
    </row>
    <row r="267" customFormat="false" ht="14.25" hidden="false" customHeight="false" outlineLevel="0" collapsed="false">
      <c r="A267" s="38" t="n">
        <v>39738</v>
      </c>
      <c r="B267" s="39" t="n">
        <v>8562</v>
      </c>
      <c r="C267" s="40" t="n">
        <v>39</v>
      </c>
    </row>
    <row r="268" customFormat="false" ht="14.25" hidden="false" customHeight="false" outlineLevel="0" collapsed="false">
      <c r="A268" s="38" t="n">
        <v>39742</v>
      </c>
      <c r="B268" s="39" t="n">
        <v>338093</v>
      </c>
      <c r="C268" s="40" t="n">
        <v>39.88</v>
      </c>
    </row>
    <row r="269" customFormat="false" ht="14.25" hidden="false" customHeight="false" outlineLevel="0" collapsed="false">
      <c r="A269" s="38" t="n">
        <v>39743</v>
      </c>
      <c r="B269" s="39" t="n">
        <v>823588</v>
      </c>
      <c r="C269" s="40" t="n">
        <v>40</v>
      </c>
    </row>
    <row r="270" customFormat="false" ht="14.25" hidden="false" customHeight="false" outlineLevel="0" collapsed="false">
      <c r="A270" s="38" t="n">
        <v>39744</v>
      </c>
      <c r="B270" s="39" t="n">
        <v>1050000</v>
      </c>
      <c r="C270" s="40" t="n">
        <v>40</v>
      </c>
    </row>
    <row r="271" customFormat="false" ht="14.25" hidden="false" customHeight="false" outlineLevel="0" collapsed="false">
      <c r="A271" s="41" t="n">
        <v>39862</v>
      </c>
      <c r="B271" s="42" t="n">
        <v>16000</v>
      </c>
      <c r="C271" s="43" t="n">
        <v>25</v>
      </c>
    </row>
    <row r="272" customFormat="false" ht="14.25" hidden="false" customHeight="false" outlineLevel="0" collapsed="false">
      <c r="A272" s="41" t="n">
        <v>39868</v>
      </c>
      <c r="B272" s="42" t="n">
        <v>200000</v>
      </c>
      <c r="C272" s="43" t="n">
        <v>25</v>
      </c>
    </row>
    <row r="273" customFormat="false" ht="14.25" hidden="false" customHeight="false" outlineLevel="0" collapsed="false">
      <c r="A273" s="41" t="n">
        <v>39869</v>
      </c>
      <c r="B273" s="42" t="n">
        <v>976544</v>
      </c>
      <c r="C273" s="43" t="n">
        <v>24.99</v>
      </c>
    </row>
    <row r="274" customFormat="false" ht="14.25" hidden="false" customHeight="false" outlineLevel="0" collapsed="false">
      <c r="A274" s="41" t="n">
        <v>39874</v>
      </c>
      <c r="B274" s="42" t="n">
        <v>266481</v>
      </c>
      <c r="C274" s="43" t="n">
        <v>22.2</v>
      </c>
    </row>
    <row r="275" customFormat="false" ht="14.25" hidden="false" customHeight="false" outlineLevel="0" collapsed="false">
      <c r="A275" s="41" t="n">
        <v>39875</v>
      </c>
      <c r="B275" s="42" t="n">
        <v>1115112</v>
      </c>
      <c r="C275" s="43" t="n">
        <v>21.1</v>
      </c>
    </row>
    <row r="276" customFormat="false" ht="14.25" hidden="false" customHeight="false" outlineLevel="0" collapsed="false">
      <c r="A276" s="41" t="n">
        <v>39883</v>
      </c>
      <c r="B276" s="42" t="n">
        <v>502460</v>
      </c>
      <c r="C276" s="43" t="n">
        <v>20</v>
      </c>
    </row>
    <row r="277" customFormat="false" ht="14.25" hidden="false" customHeight="false" outlineLevel="0" collapsed="false">
      <c r="A277" s="41" t="n">
        <v>39888</v>
      </c>
      <c r="B277" s="42" t="n">
        <v>4143490</v>
      </c>
      <c r="C277" s="43" t="n">
        <v>19</v>
      </c>
    </row>
    <row r="278" customFormat="false" ht="14.25" hidden="false" customHeight="false" outlineLevel="0" collapsed="false">
      <c r="A278" s="41" t="n">
        <v>39892</v>
      </c>
      <c r="B278" s="42" t="n">
        <v>8796041</v>
      </c>
      <c r="C278" s="43" t="n">
        <v>19.13</v>
      </c>
    </row>
    <row r="279" customFormat="false" ht="14.25" hidden="false" customHeight="false" outlineLevel="0" collapsed="false">
      <c r="A279" s="41" t="n">
        <v>39896</v>
      </c>
      <c r="B279" s="42" t="n">
        <v>2093000</v>
      </c>
      <c r="C279" s="43" t="n">
        <v>19</v>
      </c>
    </row>
    <row r="280" customFormat="false" ht="14.25" hidden="false" customHeight="false" outlineLevel="0" collapsed="false">
      <c r="A280" s="41" t="n">
        <v>39897</v>
      </c>
      <c r="B280" s="42" t="n">
        <v>1492598</v>
      </c>
      <c r="C280" s="43" t="n">
        <v>19</v>
      </c>
    </row>
    <row r="281" customFormat="false" ht="14.25" hidden="false" customHeight="false" outlineLevel="0" collapsed="false">
      <c r="A281" s="41" t="n">
        <v>39902</v>
      </c>
      <c r="B281" s="42" t="n">
        <v>1005000</v>
      </c>
      <c r="C281" s="43" t="n">
        <v>19</v>
      </c>
    </row>
    <row r="282" customFormat="false" ht="14.25" hidden="false" customHeight="false" outlineLevel="0" collapsed="false">
      <c r="A282" s="41" t="n">
        <v>39903</v>
      </c>
      <c r="B282" s="42" t="n">
        <v>41337</v>
      </c>
      <c r="C282" s="43" t="n">
        <v>19</v>
      </c>
    </row>
    <row r="283" customFormat="false" ht="14.25" hidden="false" customHeight="false" outlineLevel="0" collapsed="false">
      <c r="A283" s="41" t="n">
        <v>39905</v>
      </c>
      <c r="B283" s="42" t="n">
        <v>103376</v>
      </c>
      <c r="C283" s="43" t="n">
        <v>19.25</v>
      </c>
    </row>
    <row r="284" customFormat="false" ht="14.25" hidden="false" customHeight="false" outlineLevel="0" collapsed="false">
      <c r="A284" s="41" t="n">
        <v>39916</v>
      </c>
      <c r="B284" s="42" t="n">
        <v>90000</v>
      </c>
      <c r="C284" s="43" t="n">
        <v>19.25</v>
      </c>
    </row>
    <row r="285" customFormat="false" ht="14.25" hidden="false" customHeight="false" outlineLevel="0" collapsed="false">
      <c r="A285" s="41" t="n">
        <v>39917</v>
      </c>
      <c r="B285" s="42" t="n">
        <v>141527</v>
      </c>
      <c r="C285" s="43" t="n">
        <v>19.25</v>
      </c>
    </row>
    <row r="286" customFormat="false" ht="14.25" hidden="false" customHeight="false" outlineLevel="0" collapsed="false">
      <c r="A286" s="41" t="n">
        <v>39918</v>
      </c>
      <c r="B286" s="42" t="n">
        <v>1000000</v>
      </c>
      <c r="C286" s="43" t="n">
        <v>19.25</v>
      </c>
    </row>
    <row r="287" customFormat="false" ht="14.25" hidden="false" customHeight="false" outlineLevel="0" collapsed="false">
      <c r="A287" s="41" t="n">
        <v>39919</v>
      </c>
      <c r="B287" s="42" t="n">
        <v>150000</v>
      </c>
      <c r="C287" s="43" t="n">
        <v>19.25</v>
      </c>
    </row>
    <row r="288" customFormat="false" ht="14.25" hidden="false" customHeight="false" outlineLevel="0" collapsed="false">
      <c r="A288" s="41" t="n">
        <v>39920</v>
      </c>
      <c r="B288" s="42" t="n">
        <v>142000</v>
      </c>
      <c r="C288" s="43" t="n">
        <v>19.25</v>
      </c>
    </row>
    <row r="289" customFormat="false" ht="14.25" hidden="false" customHeight="false" outlineLevel="0" collapsed="false">
      <c r="A289" s="41" t="n">
        <v>39932</v>
      </c>
      <c r="B289" s="42" t="n">
        <v>1475000</v>
      </c>
      <c r="C289" s="43" t="n">
        <v>19.25</v>
      </c>
    </row>
    <row r="290" customFormat="false" ht="14.25" hidden="false" customHeight="false" outlineLevel="0" collapsed="false">
      <c r="A290" s="41" t="n">
        <v>39944</v>
      </c>
      <c r="B290" s="42" t="n">
        <v>238147</v>
      </c>
      <c r="C290" s="43" t="n">
        <v>19.25</v>
      </c>
    </row>
    <row r="291" customFormat="false" ht="14.25" hidden="false" customHeight="false" outlineLevel="0" collapsed="false">
      <c r="A291" s="41" t="n">
        <v>39952</v>
      </c>
      <c r="B291" s="42" t="n">
        <v>1160000</v>
      </c>
      <c r="C291" s="43" t="n">
        <v>19.24</v>
      </c>
    </row>
    <row r="292" customFormat="false" ht="14.25" hidden="false" customHeight="false" outlineLevel="0" collapsed="false">
      <c r="A292" s="41" t="n">
        <v>39961</v>
      </c>
      <c r="B292" s="42" t="n">
        <v>2882804</v>
      </c>
      <c r="C292" s="43" t="n">
        <v>17.5</v>
      </c>
    </row>
    <row r="293" customFormat="false" ht="14.25" hidden="false" customHeight="false" outlineLevel="0" collapsed="false">
      <c r="A293" s="41" t="n">
        <v>39966</v>
      </c>
      <c r="B293" s="42" t="n">
        <v>8600</v>
      </c>
      <c r="C293" s="43" t="n">
        <v>19.35</v>
      </c>
    </row>
    <row r="294" customFormat="false" ht="14.25" hidden="false" customHeight="false" outlineLevel="0" collapsed="false">
      <c r="A294" s="41" t="n">
        <v>39972</v>
      </c>
      <c r="B294" s="42" t="n">
        <v>100000</v>
      </c>
      <c r="C294" s="43" t="n">
        <v>18</v>
      </c>
    </row>
    <row r="295" customFormat="false" ht="14.25" hidden="false" customHeight="false" outlineLevel="0" collapsed="false">
      <c r="A295" s="41" t="n">
        <v>39986</v>
      </c>
      <c r="B295" s="42" t="n">
        <v>1751259</v>
      </c>
      <c r="C295" s="43" t="n">
        <v>17.5</v>
      </c>
    </row>
    <row r="296" customFormat="false" ht="14.25" hidden="false" customHeight="false" outlineLevel="0" collapsed="false">
      <c r="A296" s="41" t="n">
        <v>39989</v>
      </c>
      <c r="B296" s="42" t="n">
        <v>9000</v>
      </c>
      <c r="C296" s="43" t="n">
        <v>19</v>
      </c>
    </row>
    <row r="297" customFormat="false" ht="14.25" hidden="false" customHeight="false" outlineLevel="0" collapsed="false">
      <c r="A297" s="41" t="n">
        <v>39994</v>
      </c>
      <c r="B297" s="42" t="n">
        <v>3000000</v>
      </c>
      <c r="C297" s="43" t="n">
        <v>17</v>
      </c>
    </row>
    <row r="298" customFormat="false" ht="14.25" hidden="false" customHeight="false" outlineLevel="0" collapsed="false">
      <c r="A298" s="41" t="n">
        <v>40002</v>
      </c>
      <c r="B298" s="42" t="n">
        <v>5000000</v>
      </c>
      <c r="C298" s="43" t="n">
        <v>19</v>
      </c>
    </row>
    <row r="299" customFormat="false" ht="14.25" hidden="false" customHeight="false" outlineLevel="0" collapsed="false">
      <c r="A299" s="41" t="n">
        <v>40011</v>
      </c>
      <c r="B299" s="42" t="n">
        <v>300000</v>
      </c>
      <c r="C299" s="43" t="n">
        <v>17.5</v>
      </c>
    </row>
    <row r="300" customFormat="false" ht="14.25" hidden="false" customHeight="false" outlineLevel="0" collapsed="false">
      <c r="A300" s="41" t="n">
        <v>40029</v>
      </c>
      <c r="B300" s="42" t="n">
        <v>179881</v>
      </c>
      <c r="C300" s="43" t="n">
        <v>19.5</v>
      </c>
    </row>
    <row r="301" customFormat="false" ht="14.25" hidden="false" customHeight="false" outlineLevel="0" collapsed="false">
      <c r="A301" s="41" t="n">
        <v>40043</v>
      </c>
      <c r="B301" s="42" t="n">
        <v>1618401</v>
      </c>
      <c r="C301" s="43" t="n">
        <v>20.15</v>
      </c>
    </row>
    <row r="302" customFormat="false" ht="14.25" hidden="false" customHeight="false" outlineLevel="0" collapsed="false">
      <c r="A302" s="41" t="n">
        <v>40046</v>
      </c>
      <c r="B302" s="42" t="n">
        <v>3179881</v>
      </c>
      <c r="C302" s="43" t="n">
        <v>20.79</v>
      </c>
    </row>
    <row r="303" customFormat="false" ht="14.25" hidden="false" customHeight="false" outlineLevel="0" collapsed="false">
      <c r="A303" s="41" t="n">
        <v>40050</v>
      </c>
      <c r="B303" s="42" t="n">
        <v>2378</v>
      </c>
      <c r="C303" s="43" t="n">
        <v>20.01</v>
      </c>
    </row>
    <row r="304" customFormat="false" ht="14.25" hidden="false" customHeight="false" outlineLevel="0" collapsed="false">
      <c r="A304" s="41" t="n">
        <v>40052</v>
      </c>
      <c r="B304" s="42" t="n">
        <v>3000000</v>
      </c>
      <c r="C304" s="43" t="n">
        <v>22</v>
      </c>
    </row>
    <row r="305" customFormat="false" ht="14.25" hidden="false" customHeight="false" outlineLevel="0" collapsed="false">
      <c r="A305" s="41" t="n">
        <v>40057</v>
      </c>
      <c r="B305" s="42" t="n">
        <v>476000</v>
      </c>
      <c r="C305" s="43" t="n">
        <v>22</v>
      </c>
    </row>
    <row r="306" customFormat="false" ht="14.25" hidden="false" customHeight="false" outlineLevel="0" collapsed="false">
      <c r="A306" s="41" t="n">
        <v>40058</v>
      </c>
      <c r="B306" s="42" t="n">
        <v>24177</v>
      </c>
      <c r="C306" s="43" t="n">
        <v>22.01</v>
      </c>
    </row>
    <row r="307" customFormat="false" ht="14.25" hidden="false" customHeight="false" outlineLevel="0" collapsed="false">
      <c r="A307" s="41" t="n">
        <v>40087</v>
      </c>
      <c r="B307" s="42" t="n">
        <v>3299732</v>
      </c>
      <c r="C307" s="43" t="n">
        <v>23.5</v>
      </c>
    </row>
    <row r="308" customFormat="false" ht="14.25" hidden="false" customHeight="false" outlineLevel="0" collapsed="false">
      <c r="A308" s="41" t="n">
        <v>40088</v>
      </c>
      <c r="B308" s="42" t="n">
        <v>85596</v>
      </c>
      <c r="C308" s="43" t="n">
        <v>23.5</v>
      </c>
    </row>
    <row r="309" customFormat="false" ht="14.25" hidden="false" customHeight="false" outlineLevel="0" collapsed="false">
      <c r="A309" s="41" t="n">
        <v>40092</v>
      </c>
      <c r="B309" s="42" t="n">
        <v>1008222</v>
      </c>
      <c r="C309" s="43" t="n">
        <v>23.5</v>
      </c>
    </row>
    <row r="310" customFormat="false" ht="14.25" hidden="false" customHeight="false" outlineLevel="0" collapsed="false">
      <c r="A310" s="41" t="n">
        <v>40094</v>
      </c>
      <c r="B310" s="42" t="n">
        <v>519776</v>
      </c>
      <c r="C310" s="43" t="n">
        <v>23.5</v>
      </c>
    </row>
    <row r="311" customFormat="false" ht="14.25" hidden="false" customHeight="false" outlineLevel="0" collapsed="false">
      <c r="A311" s="41" t="n">
        <v>40095</v>
      </c>
      <c r="B311" s="42" t="n">
        <v>2000000</v>
      </c>
      <c r="C311" s="43" t="n">
        <v>23.5</v>
      </c>
    </row>
    <row r="312" customFormat="false" ht="14.25" hidden="false" customHeight="false" outlineLevel="0" collapsed="false">
      <c r="A312" s="41" t="n">
        <v>40112</v>
      </c>
      <c r="B312" s="42" t="n">
        <v>59440</v>
      </c>
      <c r="C312" s="43" t="n">
        <v>23.5</v>
      </c>
    </row>
    <row r="313" customFormat="false" ht="14.25" hidden="false" customHeight="false" outlineLevel="0" collapsed="false">
      <c r="A313" s="41" t="n">
        <v>40113</v>
      </c>
      <c r="B313" s="42" t="n">
        <v>52886</v>
      </c>
      <c r="C313" s="43" t="n">
        <v>23.5</v>
      </c>
    </row>
    <row r="314" customFormat="false" ht="14.25" hidden="false" customHeight="false" outlineLevel="0" collapsed="false">
      <c r="A314" s="41" t="n">
        <v>40114</v>
      </c>
      <c r="B314" s="42" t="n">
        <v>354000</v>
      </c>
      <c r="C314" s="43" t="n">
        <v>24</v>
      </c>
    </row>
    <row r="315" customFormat="false" ht="14.25" hidden="false" customHeight="false" outlineLevel="0" collapsed="false">
      <c r="A315" s="41" t="n">
        <v>40120</v>
      </c>
      <c r="B315" s="42" t="n">
        <v>148006</v>
      </c>
      <c r="C315" s="43" t="n">
        <v>23.75</v>
      </c>
    </row>
    <row r="316" customFormat="false" ht="14.25" hidden="false" customHeight="false" outlineLevel="0" collapsed="false">
      <c r="A316" s="41" t="n">
        <v>40126</v>
      </c>
      <c r="B316" s="42" t="n">
        <v>650000</v>
      </c>
      <c r="C316" s="43" t="n">
        <v>23.5</v>
      </c>
    </row>
    <row r="317" customFormat="false" ht="14.25" hidden="false" customHeight="false" outlineLevel="0" collapsed="false">
      <c r="A317" s="44" t="n">
        <v>40189</v>
      </c>
      <c r="B317" s="45" t="n">
        <v>5773</v>
      </c>
      <c r="C317" s="46" t="n">
        <v>23.5</v>
      </c>
    </row>
    <row r="318" customFormat="false" ht="14.25" hidden="false" customHeight="false" outlineLevel="0" collapsed="false">
      <c r="A318" s="44" t="n">
        <v>40190</v>
      </c>
      <c r="B318" s="45" t="n">
        <v>100000</v>
      </c>
      <c r="C318" s="46" t="n">
        <v>23.5</v>
      </c>
    </row>
    <row r="319" customFormat="false" ht="14.25" hidden="false" customHeight="false" outlineLevel="0" collapsed="false">
      <c r="A319" s="44" t="n">
        <v>40206</v>
      </c>
      <c r="B319" s="45" t="n">
        <v>500000</v>
      </c>
      <c r="C319" s="46" t="n">
        <v>23.45</v>
      </c>
    </row>
    <row r="320" customFormat="false" ht="14.25" hidden="false" customHeight="false" outlineLevel="0" collapsed="false">
      <c r="A320" s="44" t="n">
        <v>40207</v>
      </c>
      <c r="B320" s="45" t="n">
        <v>1093740</v>
      </c>
      <c r="C320" s="46" t="n">
        <v>23.25</v>
      </c>
    </row>
    <row r="321" customFormat="false" ht="14.25" hidden="false" customHeight="false" outlineLevel="0" collapsed="false">
      <c r="A321" s="44" t="n">
        <v>40211</v>
      </c>
      <c r="B321" s="45" t="n">
        <v>100000</v>
      </c>
      <c r="C321" s="46" t="n">
        <v>23.25</v>
      </c>
    </row>
    <row r="322" customFormat="false" ht="14.25" hidden="false" customHeight="false" outlineLevel="0" collapsed="false">
      <c r="A322" s="44" t="n">
        <v>40212</v>
      </c>
      <c r="B322" s="45" t="n">
        <v>1569082</v>
      </c>
      <c r="C322" s="46" t="n">
        <v>22.34</v>
      </c>
    </row>
    <row r="323" customFormat="false" ht="14.25" hidden="false" customHeight="false" outlineLevel="0" collapsed="false">
      <c r="A323" s="44" t="n">
        <v>40214</v>
      </c>
      <c r="B323" s="45" t="n">
        <v>2500</v>
      </c>
      <c r="C323" s="46" t="n">
        <v>22.68</v>
      </c>
    </row>
    <row r="324" customFormat="false" ht="14.25" hidden="false" customHeight="false" outlineLevel="0" collapsed="false">
      <c r="A324" s="44" t="n">
        <v>40217</v>
      </c>
      <c r="B324" s="45" t="n">
        <v>6160227</v>
      </c>
      <c r="C324" s="46" t="n">
        <v>22</v>
      </c>
    </row>
    <row r="325" customFormat="false" ht="14.25" hidden="false" customHeight="false" outlineLevel="0" collapsed="false">
      <c r="A325" s="44" t="n">
        <v>40218</v>
      </c>
      <c r="B325" s="45" t="n">
        <v>3043184</v>
      </c>
      <c r="C325" s="46" t="n">
        <v>22</v>
      </c>
    </row>
    <row r="326" customFormat="false" ht="14.25" hidden="false" customHeight="false" outlineLevel="0" collapsed="false">
      <c r="A326" s="44" t="n">
        <v>40226</v>
      </c>
      <c r="B326" s="45" t="n">
        <v>1000000</v>
      </c>
      <c r="C326" s="46" t="n">
        <v>22</v>
      </c>
    </row>
    <row r="327" customFormat="false" ht="14.25" hidden="false" customHeight="false" outlineLevel="0" collapsed="false">
      <c r="A327" s="44" t="n">
        <v>40227</v>
      </c>
      <c r="B327" s="45" t="n">
        <v>3000000</v>
      </c>
      <c r="C327" s="46" t="n">
        <v>22</v>
      </c>
    </row>
    <row r="328" customFormat="false" ht="14.25" hidden="false" customHeight="false" outlineLevel="0" collapsed="false">
      <c r="A328" s="44" t="n">
        <v>40228</v>
      </c>
      <c r="B328" s="45" t="n">
        <v>5000000</v>
      </c>
      <c r="C328" s="46" t="n">
        <v>22</v>
      </c>
    </row>
    <row r="329" customFormat="false" ht="14.25" hidden="false" customHeight="false" outlineLevel="0" collapsed="false">
      <c r="A329" s="44" t="n">
        <v>40231</v>
      </c>
      <c r="B329" s="45" t="n">
        <v>112866</v>
      </c>
      <c r="C329" s="46" t="n">
        <v>22</v>
      </c>
    </row>
    <row r="330" customFormat="false" ht="14.25" hidden="false" customHeight="false" outlineLevel="0" collapsed="false">
      <c r="A330" s="44" t="n">
        <v>40232</v>
      </c>
      <c r="B330" s="45" t="n">
        <v>5143758</v>
      </c>
      <c r="C330" s="46" t="n">
        <v>22</v>
      </c>
    </row>
    <row r="331" customFormat="false" ht="14.25" hidden="false" customHeight="false" outlineLevel="0" collapsed="false">
      <c r="A331" s="44" t="n">
        <v>40234</v>
      </c>
      <c r="B331" s="45" t="n">
        <v>3700000</v>
      </c>
      <c r="C331" s="46" t="n">
        <v>22</v>
      </c>
    </row>
    <row r="332" customFormat="false" ht="14.25" hidden="false" customHeight="false" outlineLevel="0" collapsed="false">
      <c r="A332" s="44" t="n">
        <v>40242</v>
      </c>
      <c r="B332" s="45" t="n">
        <v>69958</v>
      </c>
      <c r="C332" s="46" t="n">
        <v>22</v>
      </c>
    </row>
    <row r="333" customFormat="false" ht="14.25" hidden="false" customHeight="false" outlineLevel="0" collapsed="false">
      <c r="A333" s="44" t="n">
        <v>40245</v>
      </c>
      <c r="B333" s="45" t="n">
        <v>330042</v>
      </c>
      <c r="C333" s="46" t="n">
        <v>22</v>
      </c>
    </row>
    <row r="334" customFormat="false" ht="14.25" hidden="false" customHeight="false" outlineLevel="0" collapsed="false">
      <c r="A334" s="44" t="n">
        <v>40252</v>
      </c>
      <c r="B334" s="45" t="n">
        <v>110000</v>
      </c>
      <c r="C334" s="46" t="n">
        <v>22</v>
      </c>
    </row>
    <row r="335" customFormat="false" ht="14.25" hidden="false" customHeight="false" outlineLevel="0" collapsed="false">
      <c r="A335" s="44" t="n">
        <v>40253</v>
      </c>
      <c r="B335" s="45" t="n">
        <v>660000</v>
      </c>
      <c r="C335" s="46" t="n">
        <v>21.99</v>
      </c>
      <c r="H335" s="47"/>
      <c r="I335" s="48"/>
      <c r="K335" s="49"/>
    </row>
    <row r="336" customFormat="false" ht="14.25" hidden="false" customHeight="false" outlineLevel="0" collapsed="false">
      <c r="A336" s="44" t="n">
        <v>40255</v>
      </c>
      <c r="B336" s="45" t="n">
        <v>1469958</v>
      </c>
      <c r="C336" s="46" t="n">
        <v>20.5</v>
      </c>
      <c r="H336" s="47"/>
      <c r="I336" s="48"/>
      <c r="K336" s="50"/>
    </row>
    <row r="337" customFormat="false" ht="14.25" hidden="false" customHeight="false" outlineLevel="0" collapsed="false">
      <c r="A337" s="44" t="n">
        <v>40256</v>
      </c>
      <c r="B337" s="45" t="n">
        <v>95205</v>
      </c>
      <c r="C337" s="46" t="n">
        <v>20.5</v>
      </c>
      <c r="H337" s="47"/>
      <c r="I337" s="48"/>
      <c r="K337" s="49"/>
    </row>
    <row r="338" customFormat="false" ht="14.25" hidden="false" customHeight="false" outlineLevel="0" collapsed="false">
      <c r="A338" s="44" t="n">
        <v>40272</v>
      </c>
      <c r="B338" s="45" t="n">
        <v>548519</v>
      </c>
      <c r="C338" s="46" t="n">
        <v>20.9</v>
      </c>
      <c r="H338" s="47"/>
      <c r="I338" s="48"/>
      <c r="K338" s="49"/>
    </row>
    <row r="339" customFormat="false" ht="14.25" hidden="false" customHeight="false" outlineLevel="0" collapsed="false">
      <c r="A339" s="44" t="n">
        <v>40280</v>
      </c>
      <c r="B339" s="45" t="n">
        <v>600000</v>
      </c>
      <c r="C339" s="46" t="n">
        <v>20.9</v>
      </c>
      <c r="H339" s="47"/>
      <c r="I339" s="48"/>
      <c r="K339" s="50"/>
    </row>
    <row r="340" customFormat="false" ht="14.25" hidden="false" customHeight="false" outlineLevel="0" collapsed="false">
      <c r="A340" s="44" t="n">
        <v>40291</v>
      </c>
      <c r="B340" s="45" t="n">
        <v>2240000</v>
      </c>
      <c r="C340" s="46" t="n">
        <v>20.9</v>
      </c>
      <c r="H340" s="47"/>
      <c r="I340" s="48"/>
      <c r="K340" s="49"/>
    </row>
    <row r="341" customFormat="false" ht="14.25" hidden="false" customHeight="false" outlineLevel="0" collapsed="false">
      <c r="A341" s="44" t="n">
        <v>40295</v>
      </c>
      <c r="B341" s="45" t="n">
        <v>58000</v>
      </c>
      <c r="C341" s="46" t="n">
        <v>20.8</v>
      </c>
      <c r="H341" s="47"/>
      <c r="I341" s="48"/>
      <c r="K341" s="50"/>
    </row>
    <row r="342" customFormat="false" ht="14.25" hidden="false" customHeight="false" outlineLevel="0" collapsed="false">
      <c r="A342" s="44" t="n">
        <v>40301</v>
      </c>
      <c r="B342" s="45" t="n">
        <v>282126</v>
      </c>
      <c r="C342" s="46" t="n">
        <v>20.45</v>
      </c>
      <c r="H342" s="47"/>
      <c r="I342" s="48"/>
      <c r="K342" s="49"/>
    </row>
    <row r="343" customFormat="false" ht="14.25" hidden="false" customHeight="false" outlineLevel="0" collapsed="false">
      <c r="A343" s="44" t="n">
        <v>40305</v>
      </c>
      <c r="B343" s="45" t="n">
        <v>171700</v>
      </c>
      <c r="C343" s="46" t="n">
        <v>20.69</v>
      </c>
      <c r="H343" s="47"/>
      <c r="I343" s="48"/>
      <c r="K343" s="50"/>
    </row>
    <row r="344" customFormat="false" ht="14.25" hidden="false" customHeight="false" outlineLevel="0" collapsed="false">
      <c r="A344" s="44" t="n">
        <v>40317</v>
      </c>
      <c r="B344" s="45" t="n">
        <v>8374</v>
      </c>
      <c r="C344" s="46" t="n">
        <v>20.68</v>
      </c>
      <c r="H344" s="47"/>
      <c r="I344" s="48"/>
      <c r="K344" s="49"/>
    </row>
    <row r="345" customFormat="false" ht="14.25" hidden="false" customHeight="false" outlineLevel="0" collapsed="false">
      <c r="A345" s="44" t="n">
        <v>40336</v>
      </c>
      <c r="B345" s="45" t="n">
        <v>155000</v>
      </c>
      <c r="C345" s="46" t="n">
        <v>20.6</v>
      </c>
      <c r="H345" s="47"/>
      <c r="I345" s="48"/>
      <c r="K345" s="50"/>
    </row>
    <row r="346" customFormat="false" ht="14.25" hidden="false" customHeight="false" outlineLevel="0" collapsed="false">
      <c r="A346" s="44" t="n">
        <v>40338</v>
      </c>
      <c r="B346" s="45" t="n">
        <v>62000</v>
      </c>
      <c r="C346" s="46" t="n">
        <v>20.5</v>
      </c>
      <c r="H346" s="47"/>
      <c r="I346" s="48"/>
      <c r="K346" s="51"/>
    </row>
    <row r="347" customFormat="false" ht="14.25" hidden="false" customHeight="false" outlineLevel="0" collapsed="false">
      <c r="A347" s="44" t="n">
        <v>40366</v>
      </c>
      <c r="B347" s="45" t="n">
        <v>181946</v>
      </c>
      <c r="C347" s="46" t="n">
        <v>20.59</v>
      </c>
      <c r="H347" s="47"/>
      <c r="I347" s="48"/>
      <c r="K347" s="49"/>
    </row>
    <row r="348" customFormat="false" ht="14.25" hidden="false" customHeight="false" outlineLevel="0" collapsed="false">
      <c r="A348" s="44" t="n">
        <v>40371</v>
      </c>
      <c r="B348" s="45" t="n">
        <v>434708</v>
      </c>
      <c r="C348" s="46" t="n">
        <v>20.59</v>
      </c>
      <c r="H348" s="47"/>
      <c r="I348" s="48"/>
      <c r="K348" s="49"/>
    </row>
    <row r="349" customFormat="false" ht="14.25" hidden="false" customHeight="false" outlineLevel="0" collapsed="false">
      <c r="A349" s="44" t="n">
        <v>40372</v>
      </c>
      <c r="B349" s="45" t="n">
        <v>2000000</v>
      </c>
      <c r="C349" s="46" t="n">
        <v>20.49</v>
      </c>
    </row>
    <row r="350" customFormat="false" ht="14.25" hidden="false" customHeight="false" outlineLevel="0" collapsed="false">
      <c r="A350" s="44" t="n">
        <v>40385</v>
      </c>
      <c r="B350" s="45" t="n">
        <v>3273162</v>
      </c>
      <c r="C350" s="46" t="n">
        <v>20</v>
      </c>
    </row>
    <row r="351" customFormat="false" ht="14.25" hidden="false" customHeight="false" outlineLevel="0" collapsed="false">
      <c r="A351" s="44" t="n">
        <v>40400</v>
      </c>
      <c r="B351" s="52" t="n">
        <v>1567276</v>
      </c>
      <c r="C351" s="46" t="n">
        <v>19.66</v>
      </c>
    </row>
    <row r="352" customFormat="false" ht="14.25" hidden="false" customHeight="false" outlineLevel="0" collapsed="false">
      <c r="A352" s="44" t="n">
        <v>40407</v>
      </c>
      <c r="B352" s="45" t="n">
        <v>4000000</v>
      </c>
      <c r="C352" s="46" t="n">
        <v>19.5</v>
      </c>
    </row>
    <row r="353" customFormat="false" ht="14.25" hidden="false" customHeight="false" outlineLevel="0" collapsed="false">
      <c r="A353" s="44" t="n">
        <v>40409</v>
      </c>
      <c r="B353" s="45" t="n">
        <v>31441122</v>
      </c>
      <c r="C353" s="46" t="n">
        <v>18.88</v>
      </c>
    </row>
    <row r="354" customFormat="false" ht="14.25" hidden="false" customHeight="false" outlineLevel="0" collapsed="false">
      <c r="A354" s="44" t="n">
        <v>40414</v>
      </c>
      <c r="B354" s="45" t="n">
        <v>85990</v>
      </c>
      <c r="C354" s="46" t="n">
        <v>18</v>
      </c>
    </row>
    <row r="355" customFormat="false" ht="14.25" hidden="false" customHeight="false" outlineLevel="0" collapsed="false">
      <c r="A355" s="44" t="n">
        <v>40415</v>
      </c>
      <c r="B355" s="45" t="n">
        <v>17153694</v>
      </c>
      <c r="C355" s="46" t="n">
        <v>18.25</v>
      </c>
      <c r="H355" s="47"/>
      <c r="I355" s="48"/>
    </row>
    <row r="356" customFormat="false" ht="14.25" hidden="false" customHeight="false" outlineLevel="0" collapsed="false">
      <c r="A356" s="44" t="n">
        <v>40416</v>
      </c>
      <c r="B356" s="45" t="n">
        <v>960000</v>
      </c>
      <c r="C356" s="46" t="n">
        <v>18.25</v>
      </c>
      <c r="H356" s="47"/>
      <c r="I356" s="48"/>
      <c r="K356" s="49"/>
    </row>
    <row r="357" customFormat="false" ht="14.25" hidden="false" customHeight="false" outlineLevel="0" collapsed="false">
      <c r="A357" s="44" t="n">
        <v>40430</v>
      </c>
      <c r="B357" s="45" t="n">
        <v>150000</v>
      </c>
      <c r="C357" s="46" t="n">
        <v>20</v>
      </c>
      <c r="H357" s="47"/>
      <c r="I357" s="48"/>
      <c r="K357" s="50"/>
    </row>
    <row r="358" customFormat="false" ht="14.25" hidden="false" customHeight="false" outlineLevel="0" collapsed="false">
      <c r="A358" s="44" t="n">
        <v>40435</v>
      </c>
      <c r="B358" s="45" t="n">
        <v>52024</v>
      </c>
      <c r="C358" s="46" t="n">
        <v>18.75</v>
      </c>
      <c r="H358" s="47"/>
      <c r="I358" s="48"/>
      <c r="K358" s="49"/>
    </row>
    <row r="359" customFormat="false" ht="14.25" hidden="false" customHeight="false" outlineLevel="0" collapsed="false">
      <c r="A359" s="44" t="n">
        <v>40443</v>
      </c>
      <c r="B359" s="45" t="n">
        <v>800</v>
      </c>
      <c r="C359" s="46" t="n">
        <v>18.65</v>
      </c>
      <c r="H359" s="47"/>
      <c r="I359" s="48"/>
      <c r="K359" s="50"/>
    </row>
    <row r="360" customFormat="false" ht="14.25" hidden="false" customHeight="false" outlineLevel="0" collapsed="false">
      <c r="A360" s="44" t="n">
        <v>40444</v>
      </c>
      <c r="B360" s="45" t="n">
        <v>214363</v>
      </c>
      <c r="C360" s="46" t="n">
        <v>18.66</v>
      </c>
      <c r="H360" s="47"/>
      <c r="I360" s="48"/>
      <c r="K360" s="49"/>
    </row>
    <row r="361" customFormat="false" ht="14.25" hidden="false" customHeight="false" outlineLevel="0" collapsed="false">
      <c r="A361" s="44" t="n">
        <v>40445</v>
      </c>
      <c r="B361" s="45" t="n">
        <v>2500000</v>
      </c>
      <c r="C361" s="46" t="n">
        <v>18.65</v>
      </c>
      <c r="H361" s="47"/>
      <c r="I361" s="48"/>
      <c r="K361" s="50"/>
    </row>
    <row r="362" customFormat="false" ht="14.25" hidden="false" customHeight="false" outlineLevel="0" collapsed="false">
      <c r="A362" s="44" t="n">
        <v>40448</v>
      </c>
      <c r="B362" s="45" t="n">
        <v>2500000</v>
      </c>
      <c r="C362" s="46" t="n">
        <v>18.65</v>
      </c>
      <c r="H362" s="47"/>
      <c r="I362" s="48"/>
      <c r="K362" s="49"/>
    </row>
    <row r="363" customFormat="false" ht="14.25" hidden="false" customHeight="false" outlineLevel="0" collapsed="false">
      <c r="A363" s="44" t="n">
        <v>40449</v>
      </c>
      <c r="B363" s="45" t="n">
        <v>2500000</v>
      </c>
      <c r="C363" s="46" t="n">
        <v>18.65</v>
      </c>
      <c r="H363" s="47"/>
      <c r="I363" s="48"/>
      <c r="K363" s="50"/>
    </row>
    <row r="364" customFormat="false" ht="14.25" hidden="false" customHeight="false" outlineLevel="0" collapsed="false">
      <c r="A364" s="44" t="n">
        <v>40450</v>
      </c>
      <c r="B364" s="45" t="n">
        <v>953694</v>
      </c>
      <c r="C364" s="46" t="n">
        <v>18.65</v>
      </c>
      <c r="H364" s="47"/>
      <c r="I364" s="48"/>
      <c r="K364" s="50"/>
    </row>
    <row r="365" customFormat="false" ht="14.25" hidden="false" customHeight="false" outlineLevel="0" collapsed="false">
      <c r="A365" s="44" t="n">
        <v>40456</v>
      </c>
      <c r="B365" s="45" t="n">
        <v>1000000</v>
      </c>
      <c r="C365" s="46" t="n">
        <v>18.68</v>
      </c>
      <c r="H365" s="47"/>
      <c r="I365" s="48"/>
      <c r="K365" s="49"/>
    </row>
    <row r="366" customFormat="false" ht="14.25" hidden="false" customHeight="false" outlineLevel="0" collapsed="false">
      <c r="A366" s="44" t="n">
        <v>40465</v>
      </c>
      <c r="B366" s="45" t="n">
        <v>841152</v>
      </c>
      <c r="C366" s="46" t="n">
        <v>18.65</v>
      </c>
      <c r="H366" s="47"/>
      <c r="I366" s="48"/>
      <c r="K366" s="50"/>
    </row>
    <row r="367" customFormat="false" ht="14.25" hidden="false" customHeight="false" outlineLevel="0" collapsed="false">
      <c r="A367" s="44" t="n">
        <v>40466</v>
      </c>
      <c r="B367" s="45" t="n">
        <v>591266</v>
      </c>
      <c r="C367" s="46" t="n">
        <v>18.65</v>
      </c>
      <c r="H367" s="47"/>
      <c r="I367" s="48"/>
      <c r="K367" s="50"/>
    </row>
    <row r="368" customFormat="false" ht="14.25" hidden="false" customHeight="false" outlineLevel="0" collapsed="false">
      <c r="A368" s="44" t="n">
        <v>40471</v>
      </c>
      <c r="B368" s="45" t="n">
        <v>51179</v>
      </c>
      <c r="C368" s="46" t="n">
        <v>18.66</v>
      </c>
      <c r="H368" s="47"/>
      <c r="I368" s="48"/>
      <c r="K368" s="49"/>
    </row>
    <row r="369" customFormat="false" ht="14.25" hidden="false" customHeight="false" outlineLevel="0" collapsed="false">
      <c r="A369" s="44" t="n">
        <v>40473</v>
      </c>
      <c r="B369" s="45" t="n">
        <v>1525</v>
      </c>
      <c r="C369" s="46" t="n">
        <v>18.65</v>
      </c>
      <c r="H369" s="47"/>
      <c r="I369" s="48"/>
      <c r="K369" s="50"/>
    </row>
    <row r="370" customFormat="false" ht="14.25" hidden="false" customHeight="false" outlineLevel="0" collapsed="false">
      <c r="A370" s="44" t="n">
        <v>40483</v>
      </c>
      <c r="B370" s="45" t="n">
        <v>2500000</v>
      </c>
      <c r="C370" s="46" t="n">
        <v>18.65</v>
      </c>
      <c r="H370" s="47"/>
      <c r="I370" s="48"/>
      <c r="K370" s="51"/>
    </row>
    <row r="371" customFormat="false" ht="14.25" hidden="false" customHeight="false" outlineLevel="0" collapsed="false">
      <c r="A371" s="44" t="n">
        <v>40486</v>
      </c>
      <c r="B371" s="45" t="n">
        <v>750000</v>
      </c>
      <c r="C371" s="46" t="n">
        <v>18.66</v>
      </c>
      <c r="H371" s="47"/>
      <c r="I371" s="48"/>
      <c r="K371" s="49"/>
    </row>
    <row r="372" customFormat="false" ht="14.25" hidden="false" customHeight="false" outlineLevel="0" collapsed="false">
      <c r="A372" s="44" t="n">
        <v>40487</v>
      </c>
      <c r="B372" s="45" t="n">
        <v>140359</v>
      </c>
      <c r="C372" s="46" t="n">
        <v>18.66</v>
      </c>
    </row>
    <row r="373" customFormat="false" ht="14.25" hidden="false" customHeight="false" outlineLevel="0" collapsed="false">
      <c r="A373" s="44" t="n">
        <v>40504</v>
      </c>
      <c r="B373" s="45" t="n">
        <v>4537148</v>
      </c>
      <c r="C373" s="46" t="n">
        <v>18.66</v>
      </c>
    </row>
    <row r="374" customFormat="false" ht="14.25" hidden="false" customHeight="false" outlineLevel="0" collapsed="false">
      <c r="A374" s="44" t="n">
        <v>40505</v>
      </c>
      <c r="B374" s="45" t="n">
        <v>3038493</v>
      </c>
      <c r="C374" s="46" t="n">
        <v>18.65</v>
      </c>
    </row>
    <row r="375" customFormat="false" ht="14.25" hidden="false" customHeight="false" outlineLevel="0" collapsed="false">
      <c r="A375" s="44" t="n">
        <v>40506</v>
      </c>
      <c r="B375" s="45" t="n">
        <v>3065745</v>
      </c>
      <c r="C375" s="46" t="n">
        <v>18.65</v>
      </c>
    </row>
    <row r="376" customFormat="false" ht="14.25" hidden="false" customHeight="false" outlineLevel="0" collapsed="false">
      <c r="A376" s="44" t="n">
        <v>40507</v>
      </c>
      <c r="B376" s="45" t="n">
        <v>1325723</v>
      </c>
      <c r="C376" s="46" t="n">
        <v>18.65</v>
      </c>
    </row>
    <row r="377" customFormat="false" ht="14.25" hidden="false" customHeight="false" outlineLevel="0" collapsed="false">
      <c r="A377" s="44" t="n">
        <v>40877</v>
      </c>
      <c r="B377" s="45" t="n">
        <v>2450000</v>
      </c>
      <c r="C377" s="46" t="n">
        <v>18.65</v>
      </c>
    </row>
    <row r="378" customFormat="false" ht="14.25" hidden="false" customHeight="false" outlineLevel="0" collapsed="false">
      <c r="A378" s="44" t="n">
        <v>40513</v>
      </c>
      <c r="B378" s="45" t="n">
        <v>600000</v>
      </c>
      <c r="C378" s="46" t="n">
        <v>18.65</v>
      </c>
    </row>
    <row r="379" customFormat="false" ht="14.25" hidden="false" customHeight="false" outlineLevel="0" collapsed="false">
      <c r="A379" s="44" t="n">
        <v>40522</v>
      </c>
      <c r="B379" s="45" t="n">
        <v>4000</v>
      </c>
      <c r="C379" s="46" t="n">
        <v>18.65</v>
      </c>
    </row>
    <row r="380" customFormat="false" ht="14.25" hidden="false" customHeight="false" outlineLevel="0" collapsed="false">
      <c r="A380" s="44" t="n">
        <v>40526</v>
      </c>
      <c r="B380" s="45" t="n">
        <v>223464</v>
      </c>
      <c r="C380" s="46" t="n">
        <v>18.65</v>
      </c>
    </row>
    <row r="381" customFormat="false" ht="14.25" hidden="false" customHeight="false" outlineLevel="0" collapsed="false">
      <c r="A381" s="44" t="n">
        <v>40532</v>
      </c>
      <c r="B381" s="45" t="n">
        <v>500000</v>
      </c>
      <c r="C381" s="46" t="n">
        <v>18.73</v>
      </c>
    </row>
  </sheetData>
  <printOptions headings="false" gridLines="false" gridLinesSet="true" horizontalCentered="false" verticalCentered="false"/>
  <pageMargins left="0.75" right="0.75" top="1" bottom="1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10.6875" defaultRowHeight="14.25" zeroHeight="false" outlineLevelRow="0" outlineLevelCol="0"/>
  <cols>
    <col collapsed="false" customWidth="true" hidden="false" outlineLevel="0" max="1" min="1" style="53" width="15"/>
    <col collapsed="false" customWidth="true" hidden="false" outlineLevel="0" max="2" min="2" style="0" width="10.14"/>
    <col collapsed="false" customWidth="true" hidden="false" outlineLevel="0" max="3" min="3" style="0" width="14.15"/>
  </cols>
  <sheetData>
    <row r="1" customFormat="false" ht="15" hidden="false" customHeight="false" outlineLevel="0" collapsed="false">
      <c r="A1" s="54" t="s">
        <v>0</v>
      </c>
      <c r="B1" s="23"/>
      <c r="C1" s="24"/>
    </row>
    <row r="2" customFormat="false" ht="14.25" hidden="false" customHeight="false" outlineLevel="0" collapsed="false">
      <c r="A2" s="55"/>
      <c r="B2" s="23"/>
      <c r="C2" s="24"/>
    </row>
    <row r="3" customFormat="false" ht="15" hidden="false" customHeight="false" outlineLevel="0" collapsed="false">
      <c r="A3" s="54" t="s">
        <v>1</v>
      </c>
      <c r="B3" s="23"/>
      <c r="C3" s="24"/>
    </row>
    <row r="4" customFormat="false" ht="14.25" hidden="false" customHeight="false" outlineLevel="0" collapsed="false">
      <c r="A4" s="55"/>
      <c r="B4" s="23"/>
      <c r="C4" s="24"/>
    </row>
    <row r="5" customFormat="false" ht="15" hidden="false" customHeight="false" outlineLevel="0" collapsed="false">
      <c r="A5" s="56" t="s">
        <v>2</v>
      </c>
      <c r="B5" s="28" t="s">
        <v>4</v>
      </c>
      <c r="C5" s="29" t="s">
        <v>5</v>
      </c>
    </row>
    <row r="6" customFormat="false" ht="14.25" hidden="false" customHeight="false" outlineLevel="0" collapsed="false">
      <c r="A6" s="55" t="n">
        <v>40554</v>
      </c>
      <c r="B6" s="23" t="n">
        <v>500000</v>
      </c>
      <c r="C6" s="24" t="n">
        <v>18.75</v>
      </c>
    </row>
    <row r="7" customFormat="false" ht="14.25" hidden="false" customHeight="false" outlineLevel="0" collapsed="false">
      <c r="A7" s="55" t="n">
        <v>40562</v>
      </c>
      <c r="B7" s="23" t="n">
        <v>148705</v>
      </c>
      <c r="C7" s="24" t="n">
        <v>18.75</v>
      </c>
    </row>
    <row r="8" customFormat="false" ht="14.25" hidden="false" customHeight="false" outlineLevel="0" collapsed="false">
      <c r="A8" s="55" t="n">
        <v>40563</v>
      </c>
      <c r="B8" s="23" t="n">
        <v>209015</v>
      </c>
      <c r="C8" s="24" t="n">
        <v>19</v>
      </c>
    </row>
    <row r="9" customFormat="false" ht="14.25" hidden="false" customHeight="false" outlineLevel="0" collapsed="false">
      <c r="A9" s="53" t="n">
        <v>40567</v>
      </c>
      <c r="B9" s="57" t="n">
        <v>1000</v>
      </c>
      <c r="C9" s="58" t="n">
        <v>18.75</v>
      </c>
    </row>
    <row r="10" customFormat="false" ht="14.25" hidden="false" customHeight="false" outlineLevel="0" collapsed="false">
      <c r="A10" s="53" t="n">
        <v>40569</v>
      </c>
      <c r="B10" s="57" t="n">
        <v>1000000</v>
      </c>
      <c r="C10" s="58" t="n">
        <v>19</v>
      </c>
    </row>
    <row r="11" customFormat="false" ht="14.25" hidden="false" customHeight="false" outlineLevel="0" collapsed="false">
      <c r="A11" s="53" t="n">
        <v>40585</v>
      </c>
      <c r="B11" s="57" t="n">
        <v>500000</v>
      </c>
      <c r="C11" s="58" t="n">
        <v>19.01</v>
      </c>
    </row>
    <row r="12" customFormat="false" ht="14.25" hidden="false" customHeight="false" outlineLevel="0" collapsed="false">
      <c r="A12" s="53" t="n">
        <v>40598</v>
      </c>
      <c r="B12" s="57" t="n">
        <v>89208</v>
      </c>
      <c r="C12" s="58" t="n">
        <v>19</v>
      </c>
    </row>
    <row r="13" customFormat="false" ht="14.25" hidden="false" customHeight="false" outlineLevel="0" collapsed="false">
      <c r="A13" s="53" t="n">
        <v>40609</v>
      </c>
      <c r="B13" s="57" t="n">
        <v>572006</v>
      </c>
      <c r="C13" s="58" t="n">
        <v>19</v>
      </c>
    </row>
    <row r="14" customFormat="false" ht="14.25" hidden="false" customHeight="false" outlineLevel="0" collapsed="false">
      <c r="A14" s="53" t="n">
        <v>40616</v>
      </c>
      <c r="B14" s="57" t="n">
        <v>4499424</v>
      </c>
      <c r="C14" s="58" t="n">
        <v>19</v>
      </c>
    </row>
    <row r="15" customFormat="false" ht="14.25" hidden="false" customHeight="false" outlineLevel="0" collapsed="false">
      <c r="A15" s="53" t="n">
        <v>40640</v>
      </c>
      <c r="B15" s="57" t="n">
        <v>332215</v>
      </c>
      <c r="C15" s="58" t="n">
        <v>19</v>
      </c>
    </row>
    <row r="16" customFormat="false" ht="14.25" hidden="false" customHeight="false" outlineLevel="0" collapsed="false">
      <c r="A16" s="53" t="n">
        <v>40647</v>
      </c>
      <c r="B16" s="57" t="n">
        <v>51315</v>
      </c>
      <c r="C16" s="58" t="n">
        <v>19</v>
      </c>
    </row>
    <row r="17" customFormat="false" ht="14.25" hidden="false" customHeight="false" outlineLevel="0" collapsed="false">
      <c r="A17" s="53" t="n">
        <v>40655</v>
      </c>
      <c r="B17" s="57" t="n">
        <v>114489</v>
      </c>
      <c r="C17" s="58" t="n">
        <v>19</v>
      </c>
    </row>
    <row r="18" customFormat="false" ht="14.25" hidden="false" customHeight="false" outlineLevel="0" collapsed="false">
      <c r="A18" s="53" t="n">
        <v>40676</v>
      </c>
      <c r="B18" s="57" t="n">
        <v>200000</v>
      </c>
      <c r="C18" s="58" t="n">
        <v>19</v>
      </c>
    </row>
    <row r="19" customFormat="false" ht="14.25" hidden="false" customHeight="false" outlineLevel="0" collapsed="false">
      <c r="A19" s="53" t="n">
        <v>40688</v>
      </c>
      <c r="B19" s="57" t="n">
        <v>356518</v>
      </c>
      <c r="C19" s="58" t="n">
        <v>19</v>
      </c>
    </row>
    <row r="20" customFormat="false" ht="14.25" hidden="false" customHeight="false" outlineLevel="0" collapsed="false">
      <c r="A20" s="53" t="n">
        <v>40697</v>
      </c>
      <c r="B20" s="57" t="n">
        <v>1356171</v>
      </c>
      <c r="C20" s="58" t="n">
        <v>19</v>
      </c>
    </row>
    <row r="21" customFormat="false" ht="14.25" hidden="false" customHeight="false" outlineLevel="0" collapsed="false">
      <c r="A21" s="53" t="n">
        <v>40716</v>
      </c>
      <c r="B21" s="57" t="n">
        <v>2743829</v>
      </c>
      <c r="C21" s="58" t="n">
        <v>18.95</v>
      </c>
    </row>
    <row r="22" customFormat="false" ht="14.25" hidden="false" customHeight="false" outlineLevel="0" collapsed="false">
      <c r="A22" s="53" t="n">
        <v>40722</v>
      </c>
      <c r="B22" s="57" t="n">
        <v>521500</v>
      </c>
      <c r="C22" s="58" t="n">
        <v>19</v>
      </c>
    </row>
    <row r="23" customFormat="false" ht="14.25" hidden="false" customHeight="false" outlineLevel="0" collapsed="false">
      <c r="A23" s="53" t="n">
        <v>40724</v>
      </c>
      <c r="B23" s="57" t="n">
        <v>1944424</v>
      </c>
      <c r="C23" s="58" t="n">
        <v>19</v>
      </c>
    </row>
    <row r="24" customFormat="false" ht="14.25" hidden="false" customHeight="false" outlineLevel="0" collapsed="false">
      <c r="A24" s="53" t="n">
        <v>40735</v>
      </c>
      <c r="B24" s="57" t="n">
        <v>1315000</v>
      </c>
      <c r="C24" s="58" t="n">
        <v>19</v>
      </c>
    </row>
    <row r="25" customFormat="false" ht="14.25" hidden="false" customHeight="false" outlineLevel="0" collapsed="false">
      <c r="A25" s="53" t="n">
        <v>40738</v>
      </c>
      <c r="B25" s="57" t="n">
        <v>1443576</v>
      </c>
      <c r="C25" s="58" t="n">
        <v>19</v>
      </c>
    </row>
    <row r="26" customFormat="false" ht="14.25" hidden="false" customHeight="false" outlineLevel="0" collapsed="false">
      <c r="A26" s="53" t="n">
        <v>40742</v>
      </c>
      <c r="B26" s="57" t="n">
        <v>562174</v>
      </c>
      <c r="C26" s="58" t="n">
        <v>19</v>
      </c>
    </row>
    <row r="27" customFormat="false" ht="14.25" hidden="false" customHeight="false" outlineLevel="0" collapsed="false">
      <c r="A27" s="53" t="n">
        <v>40751</v>
      </c>
      <c r="B27" s="57" t="n">
        <v>102631</v>
      </c>
      <c r="C27" s="58" t="n">
        <v>19</v>
      </c>
    </row>
    <row r="28" customFormat="false" ht="14.25" hidden="false" customHeight="false" outlineLevel="0" collapsed="false">
      <c r="A28" s="53" t="n">
        <v>40753</v>
      </c>
      <c r="B28" s="57" t="n">
        <v>1479874</v>
      </c>
      <c r="C28" s="58" t="n">
        <v>19</v>
      </c>
    </row>
    <row r="29" customFormat="false" ht="14.25" hidden="false" customHeight="false" outlineLevel="0" collapsed="false">
      <c r="A29" s="53" t="n">
        <v>40771</v>
      </c>
      <c r="B29" s="57" t="n">
        <v>65137</v>
      </c>
      <c r="C29" s="58" t="n">
        <v>18.9</v>
      </c>
    </row>
    <row r="30" customFormat="false" ht="14.25" hidden="false" customHeight="false" outlineLevel="0" collapsed="false">
      <c r="A30" s="53" t="n">
        <v>40778</v>
      </c>
      <c r="B30" s="57" t="n">
        <v>30000</v>
      </c>
      <c r="C30" s="58" t="n">
        <v>19.06</v>
      </c>
    </row>
    <row r="31" customFormat="false" ht="14.25" hidden="false" customHeight="false" outlineLevel="0" collapsed="false">
      <c r="A31" s="53" t="n">
        <v>40779</v>
      </c>
      <c r="B31" s="57" t="n">
        <v>100000</v>
      </c>
      <c r="C31" s="58" t="n">
        <v>19</v>
      </c>
    </row>
    <row r="32" customFormat="false" ht="14.25" hidden="false" customHeight="false" outlineLevel="0" collapsed="false">
      <c r="A32" s="53" t="n">
        <v>40786</v>
      </c>
      <c r="B32" s="57" t="n">
        <v>259489</v>
      </c>
      <c r="C32" s="58" t="n">
        <v>19</v>
      </c>
    </row>
    <row r="33" customFormat="false" ht="14.25" hidden="false" customHeight="false" outlineLevel="0" collapsed="false">
      <c r="A33" s="53" t="n">
        <v>40787</v>
      </c>
      <c r="B33" s="57" t="n">
        <v>50000</v>
      </c>
      <c r="C33" s="58" t="n">
        <v>19</v>
      </c>
    </row>
    <row r="34" customFormat="false" ht="14.25" hidden="false" customHeight="false" outlineLevel="0" collapsed="false">
      <c r="A34" s="53" t="n">
        <v>40800</v>
      </c>
      <c r="B34" s="57" t="n">
        <v>66365</v>
      </c>
      <c r="C34" s="58" t="n">
        <v>18.85</v>
      </c>
    </row>
    <row r="35" customFormat="false" ht="14.25" hidden="false" customHeight="false" outlineLevel="0" collapsed="false">
      <c r="A35" s="53" t="n">
        <v>40841</v>
      </c>
      <c r="B35" s="57" t="n">
        <v>1238314</v>
      </c>
      <c r="C35" s="58" t="n">
        <v>17.25</v>
      </c>
    </row>
    <row r="36" customFormat="false" ht="14.25" hidden="false" customHeight="false" outlineLevel="0" collapsed="false">
      <c r="A36" s="53" t="n">
        <v>40863</v>
      </c>
      <c r="B36" s="57" t="n">
        <v>981128</v>
      </c>
      <c r="C36" s="58" t="n">
        <v>16.5</v>
      </c>
    </row>
    <row r="37" customFormat="false" ht="14.25" hidden="false" customHeight="false" outlineLevel="0" collapsed="false">
      <c r="A37" s="53" t="n">
        <v>40864</v>
      </c>
      <c r="B37" s="57" t="n">
        <v>3727572</v>
      </c>
      <c r="C37" s="58" t="n">
        <v>16.5</v>
      </c>
    </row>
    <row r="38" customFormat="false" ht="14.25" hidden="false" customHeight="false" outlineLevel="0" collapsed="false">
      <c r="A38" s="53" t="n">
        <v>40869</v>
      </c>
      <c r="B38" s="57" t="n">
        <v>353187</v>
      </c>
      <c r="C38" s="58" t="n">
        <v>16.5</v>
      </c>
    </row>
    <row r="39" customFormat="false" ht="14.25" hidden="false" customHeight="false" outlineLevel="0" collapsed="false">
      <c r="A39" s="53" t="n">
        <v>40870</v>
      </c>
      <c r="B39" s="57" t="n">
        <v>1050000</v>
      </c>
      <c r="C39" s="58" t="n">
        <v>16.5</v>
      </c>
    </row>
    <row r="40" customFormat="false" ht="14.25" hidden="false" customHeight="false" outlineLevel="0" collapsed="false">
      <c r="A40" s="53" t="n">
        <v>40886</v>
      </c>
      <c r="B40" s="57" t="n">
        <v>1703354</v>
      </c>
      <c r="C40" s="58" t="n">
        <v>16.5</v>
      </c>
    </row>
    <row r="41" customFormat="false" ht="14.25" hidden="false" customHeight="false" outlineLevel="0" collapsed="false">
      <c r="A41" s="53" t="n">
        <v>40891</v>
      </c>
      <c r="B41" s="57" t="n">
        <v>77630</v>
      </c>
      <c r="C41" s="58" t="n">
        <v>16.74</v>
      </c>
    </row>
  </sheetData>
  <printOptions headings="false" gridLines="false" gridLinesSet="true" horizontalCentered="false" verticalCentered="false"/>
  <pageMargins left="0.75" right="0.75" top="1" bottom="1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28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43359375" defaultRowHeight="14.25" zeroHeight="false" outlineLevelRow="0" outlineLevelCol="0"/>
  <cols>
    <col collapsed="false" customWidth="true" hidden="false" outlineLevel="0" max="1" min="1" style="59" width="13.57"/>
    <col collapsed="false" customWidth="true" hidden="false" outlineLevel="0" max="2" min="2" style="25" width="16.14"/>
    <col collapsed="false" customWidth="true" hidden="false" outlineLevel="0" max="3" min="3" style="33" width="12.86"/>
    <col collapsed="false" customWidth="false" hidden="false" outlineLevel="0" max="1024" min="4" style="25" width="11.42"/>
  </cols>
  <sheetData>
    <row r="1" customFormat="false" ht="15" hidden="false" customHeight="false" outlineLevel="0" collapsed="false">
      <c r="A1" s="54" t="s">
        <v>0</v>
      </c>
      <c r="D1" s="60" t="s">
        <v>10</v>
      </c>
      <c r="F1" s="23"/>
      <c r="G1" s="24"/>
    </row>
    <row r="2" customFormat="false" ht="14.25" hidden="false" customHeight="false" outlineLevel="0" collapsed="false">
      <c r="A2" s="61"/>
      <c r="F2" s="23"/>
      <c r="G2" s="24"/>
    </row>
    <row r="3" customFormat="false" ht="15" hidden="false" customHeight="false" outlineLevel="0" collapsed="false">
      <c r="A3" s="54" t="s">
        <v>1</v>
      </c>
      <c r="F3" s="23"/>
      <c r="G3" s="24"/>
    </row>
    <row r="4" customFormat="false" ht="14.25" hidden="false" customHeight="false" outlineLevel="0" collapsed="false">
      <c r="A4" s="61"/>
      <c r="F4" s="23"/>
      <c r="G4" s="24"/>
    </row>
    <row r="5" customFormat="false" ht="15" hidden="false" customHeight="false" outlineLevel="0" collapsed="false">
      <c r="A5" s="54" t="s">
        <v>2</v>
      </c>
      <c r="B5" s="28" t="s">
        <v>11</v>
      </c>
      <c r="C5" s="29" t="s">
        <v>5</v>
      </c>
    </row>
    <row r="7" customFormat="false" ht="14.25" hidden="false" customHeight="false" outlineLevel="0" collapsed="false">
      <c r="A7" s="59" t="n">
        <v>40919</v>
      </c>
      <c r="B7" s="57" t="n">
        <v>36000</v>
      </c>
      <c r="C7" s="58" t="n">
        <v>17</v>
      </c>
    </row>
    <row r="8" customFormat="false" ht="14.25" hidden="false" customHeight="false" outlineLevel="0" collapsed="false">
      <c r="A8" s="59" t="n">
        <v>40935</v>
      </c>
      <c r="B8" s="57" t="n">
        <v>140365</v>
      </c>
      <c r="C8" s="58" t="n">
        <v>16.5</v>
      </c>
    </row>
    <row r="9" customFormat="false" ht="14.25" hidden="false" customHeight="false" outlineLevel="0" collapsed="false">
      <c r="A9" s="59" t="n">
        <v>40938</v>
      </c>
      <c r="B9" s="57" t="n">
        <v>41083</v>
      </c>
      <c r="C9" s="58" t="n">
        <v>16.5</v>
      </c>
    </row>
    <row r="10" customFormat="false" ht="14.25" hidden="false" customHeight="false" outlineLevel="0" collapsed="false">
      <c r="A10" s="59" t="n">
        <v>40939</v>
      </c>
      <c r="B10" s="57" t="n">
        <v>655969</v>
      </c>
      <c r="C10" s="58" t="n">
        <v>16.7</v>
      </c>
    </row>
    <row r="11" customFormat="false" ht="14.25" hidden="false" customHeight="false" outlineLevel="0" collapsed="false">
      <c r="A11" s="59" t="n">
        <v>40961</v>
      </c>
      <c r="B11" s="62" t="n">
        <v>1779435</v>
      </c>
      <c r="C11" s="33" t="n">
        <v>17.26</v>
      </c>
    </row>
    <row r="12" customFormat="false" ht="14.25" hidden="false" customHeight="false" outlineLevel="0" collapsed="false">
      <c r="A12" s="59" t="n">
        <v>40963</v>
      </c>
      <c r="B12" s="62" t="n">
        <v>655969</v>
      </c>
      <c r="C12" s="33" t="n">
        <v>17.5</v>
      </c>
    </row>
    <row r="13" customFormat="false" ht="15" hidden="false" customHeight="false" outlineLevel="0" collapsed="false">
      <c r="A13" s="63" t="n">
        <v>40982</v>
      </c>
      <c r="B13" s="64" t="n">
        <v>655969</v>
      </c>
      <c r="C13" s="65" t="n">
        <v>17.31</v>
      </c>
    </row>
    <row r="14" customFormat="false" ht="15" hidden="false" customHeight="false" outlineLevel="0" collapsed="false">
      <c r="A14" s="63" t="n">
        <v>40987</v>
      </c>
      <c r="B14" s="64" t="n">
        <v>1477988</v>
      </c>
      <c r="C14" s="65" t="n">
        <v>17.7</v>
      </c>
    </row>
    <row r="15" customFormat="false" ht="15" hidden="false" customHeight="false" outlineLevel="0" collapsed="false">
      <c r="A15" s="63" t="n">
        <v>40990</v>
      </c>
      <c r="B15" s="64" t="n">
        <v>21925</v>
      </c>
      <c r="C15" s="65" t="n">
        <v>17.8</v>
      </c>
    </row>
    <row r="16" customFormat="false" ht="14.25" hidden="false" customHeight="false" outlineLevel="0" collapsed="false">
      <c r="A16" s="59" t="n">
        <v>41023</v>
      </c>
      <c r="B16" s="62" t="n">
        <v>427363</v>
      </c>
      <c r="C16" s="33" t="n">
        <v>17.6</v>
      </c>
    </row>
    <row r="17" customFormat="false" ht="14.25" hidden="false" customHeight="false" outlineLevel="0" collapsed="false">
      <c r="A17" s="59" t="n">
        <v>41033</v>
      </c>
      <c r="B17" s="62" t="n">
        <v>255306</v>
      </c>
      <c r="C17" s="33" t="n">
        <v>17.85</v>
      </c>
    </row>
    <row r="18" customFormat="false" ht="14.25" hidden="false" customHeight="false" outlineLevel="0" collapsed="false">
      <c r="A18" s="59" t="n">
        <v>41046</v>
      </c>
      <c r="B18" s="62" t="n">
        <v>260706</v>
      </c>
      <c r="C18" s="33" t="n">
        <v>18</v>
      </c>
    </row>
    <row r="19" customFormat="false" ht="14.25" hidden="false" customHeight="false" outlineLevel="0" collapsed="false">
      <c r="A19" s="59" t="n">
        <v>41060</v>
      </c>
      <c r="B19" s="62" t="n">
        <v>1231646</v>
      </c>
      <c r="C19" s="33" t="n">
        <v>18</v>
      </c>
    </row>
    <row r="20" customFormat="false" ht="14.25" hidden="false" customHeight="false" outlineLevel="0" collapsed="false">
      <c r="A20" s="59" t="n">
        <v>41061</v>
      </c>
      <c r="B20" s="33" t="n">
        <v>1010000</v>
      </c>
      <c r="C20" s="33" t="n">
        <v>18</v>
      </c>
    </row>
    <row r="21" customFormat="false" ht="14.25" hidden="false" customHeight="false" outlineLevel="0" collapsed="false">
      <c r="A21" s="59" t="n">
        <v>41080</v>
      </c>
      <c r="B21" s="33" t="n">
        <v>6000000</v>
      </c>
      <c r="C21" s="33" t="n">
        <v>18.5</v>
      </c>
    </row>
    <row r="22" customFormat="false" ht="14.25" hidden="false" customHeight="false" outlineLevel="0" collapsed="false">
      <c r="A22" s="59" t="n">
        <v>41081</v>
      </c>
      <c r="B22" s="33" t="n">
        <v>1227553</v>
      </c>
      <c r="C22" s="33" t="n">
        <v>19.25</v>
      </c>
    </row>
    <row r="23" customFormat="false" ht="14.25" hidden="false" customHeight="false" outlineLevel="0" collapsed="false">
      <c r="A23" s="59" t="n">
        <v>41082</v>
      </c>
      <c r="B23" s="33" t="n">
        <v>26991160</v>
      </c>
      <c r="C23" s="33" t="n">
        <v>19.25</v>
      </c>
    </row>
    <row r="24" customFormat="false" ht="14.25" hidden="false" customHeight="false" outlineLevel="0" collapsed="false">
      <c r="A24" s="59" t="n">
        <v>41088</v>
      </c>
      <c r="B24" s="33" t="n">
        <v>176209</v>
      </c>
      <c r="C24" s="33" t="n">
        <v>19.2</v>
      </c>
    </row>
    <row r="25" customFormat="false" ht="14.25" hidden="false" customHeight="false" outlineLevel="0" collapsed="false">
      <c r="A25" s="59" t="n">
        <v>41108</v>
      </c>
      <c r="B25" s="33" t="n">
        <v>2041953</v>
      </c>
      <c r="C25" s="33" t="n">
        <v>19.25</v>
      </c>
      <c r="E25" s="59"/>
      <c r="F25" s="33"/>
      <c r="G25" s="33"/>
    </row>
    <row r="26" customFormat="false" ht="14.25" hidden="false" customHeight="false" outlineLevel="0" collapsed="false">
      <c r="A26" s="59" t="n">
        <v>41137</v>
      </c>
      <c r="B26" s="33" t="n">
        <v>500000</v>
      </c>
      <c r="C26" s="33" t="n">
        <v>19.25</v>
      </c>
    </row>
    <row r="27" customFormat="false" ht="14.25" hidden="false" customHeight="false" outlineLevel="0" collapsed="false">
      <c r="A27" s="59" t="n">
        <v>41143</v>
      </c>
      <c r="B27" s="33" t="n">
        <v>77160</v>
      </c>
      <c r="C27" s="33" t="n">
        <v>19.25</v>
      </c>
    </row>
    <row r="28" customFormat="false" ht="14.25" hidden="false" customHeight="false" outlineLevel="0" collapsed="false">
      <c r="A28" s="59" t="n">
        <v>41155</v>
      </c>
      <c r="B28" s="33" t="n">
        <v>2160000</v>
      </c>
      <c r="C28" s="33" t="n">
        <v>19.23</v>
      </c>
    </row>
    <row r="29" customFormat="false" ht="14.25" hidden="false" customHeight="false" outlineLevel="0" collapsed="false">
      <c r="A29" s="59" t="n">
        <v>41159</v>
      </c>
      <c r="B29" s="33" t="n">
        <v>508000</v>
      </c>
      <c r="C29" s="33" t="n">
        <v>19.23</v>
      </c>
    </row>
    <row r="30" customFormat="false" ht="14.25" hidden="false" customHeight="false" outlineLevel="0" collapsed="false">
      <c r="A30" s="59" t="n">
        <v>41165</v>
      </c>
      <c r="B30" s="33" t="n">
        <v>26648</v>
      </c>
      <c r="C30" s="33" t="n">
        <v>19.18</v>
      </c>
    </row>
    <row r="31" customFormat="false" ht="14.25" hidden="false" customHeight="false" outlineLevel="0" collapsed="false">
      <c r="A31" s="59" t="n">
        <v>41171</v>
      </c>
      <c r="B31" s="33" t="n">
        <v>500000</v>
      </c>
      <c r="C31" s="33" t="n">
        <v>19.2</v>
      </c>
    </row>
    <row r="32" customFormat="false" ht="14.25" hidden="false" customHeight="false" outlineLevel="0" collapsed="false">
      <c r="A32" s="59" t="n">
        <v>41173</v>
      </c>
      <c r="B32" s="33" t="n">
        <v>512059</v>
      </c>
      <c r="C32" s="33" t="n">
        <v>19.19</v>
      </c>
    </row>
    <row r="33" customFormat="false" ht="14.25" hidden="false" customHeight="false" outlineLevel="0" collapsed="false">
      <c r="A33" s="59" t="n">
        <v>41180</v>
      </c>
      <c r="B33" s="33" t="n">
        <v>7394132</v>
      </c>
      <c r="C33" s="33" t="n">
        <v>19</v>
      </c>
    </row>
    <row r="34" customFormat="false" ht="14.25" hidden="false" customHeight="false" outlineLevel="0" collapsed="false">
      <c r="A34" s="59" t="n">
        <v>41194</v>
      </c>
      <c r="B34" s="33" t="n">
        <v>385350</v>
      </c>
      <c r="C34" s="33" t="n">
        <v>19</v>
      </c>
    </row>
    <row r="35" customFormat="false" ht="14.25" hidden="false" customHeight="false" outlineLevel="0" collapsed="false">
      <c r="A35" s="59" t="n">
        <v>41199</v>
      </c>
      <c r="B35" s="33" t="n">
        <v>97728</v>
      </c>
      <c r="C35" s="33" t="n">
        <v>19</v>
      </c>
    </row>
    <row r="36" customFormat="false" ht="14.25" hidden="false" customHeight="false" outlineLevel="0" collapsed="false">
      <c r="A36" s="59" t="n">
        <v>41204</v>
      </c>
      <c r="B36" s="33" t="n">
        <v>64775</v>
      </c>
      <c r="C36" s="33" t="n">
        <v>19</v>
      </c>
    </row>
    <row r="37" customFormat="false" ht="14.25" hidden="false" customHeight="false" outlineLevel="0" collapsed="false">
      <c r="A37" s="59" t="n">
        <v>41222</v>
      </c>
      <c r="B37" s="33" t="n">
        <v>142000</v>
      </c>
      <c r="C37" s="33" t="n">
        <v>19.01</v>
      </c>
    </row>
    <row r="38" customFormat="false" ht="14.25" hidden="false" customHeight="false" outlineLevel="0" collapsed="false">
      <c r="A38" s="59" t="n">
        <v>41225</v>
      </c>
      <c r="B38" s="33" t="n">
        <v>56342</v>
      </c>
      <c r="C38" s="33" t="n">
        <v>19</v>
      </c>
    </row>
    <row r="39" customFormat="false" ht="14.25" hidden="false" customHeight="false" outlineLevel="0" collapsed="false">
      <c r="A39" s="59" t="n">
        <v>41226</v>
      </c>
      <c r="B39" s="33" t="n">
        <v>63817</v>
      </c>
      <c r="C39" s="33" t="n">
        <v>19</v>
      </c>
    </row>
    <row r="40" customFormat="false" ht="14.25" hidden="false" customHeight="false" outlineLevel="0" collapsed="false">
      <c r="A40" s="59" t="n">
        <v>41240</v>
      </c>
      <c r="B40" s="33" t="n">
        <v>320000</v>
      </c>
      <c r="C40" s="33" t="n">
        <v>19</v>
      </c>
    </row>
    <row r="41" customFormat="false" ht="14.25" hidden="false" customHeight="false" outlineLevel="0" collapsed="false">
      <c r="A41" s="59" t="n">
        <v>41241</v>
      </c>
      <c r="B41" s="33" t="n">
        <v>513463</v>
      </c>
      <c r="C41" s="33" t="n">
        <v>19</v>
      </c>
    </row>
    <row r="42" customFormat="false" ht="14.25" hidden="false" customHeight="false" outlineLevel="0" collapsed="false">
      <c r="A42" s="59" t="n">
        <v>41249</v>
      </c>
      <c r="B42" s="33" t="n">
        <v>1400000</v>
      </c>
      <c r="C42" s="33" t="n">
        <v>19</v>
      </c>
    </row>
    <row r="43" customFormat="false" ht="14.25" hidden="false" customHeight="false" outlineLevel="0" collapsed="false">
      <c r="A43" s="59" t="n">
        <v>41250</v>
      </c>
      <c r="B43" s="33" t="n">
        <v>100000</v>
      </c>
      <c r="C43" s="33" t="n">
        <v>19</v>
      </c>
    </row>
    <row r="44" customFormat="false" ht="14.25" hidden="false" customHeight="false" outlineLevel="0" collapsed="false">
      <c r="A44" s="59" t="n">
        <v>41255</v>
      </c>
      <c r="B44" s="33" t="n">
        <v>839000</v>
      </c>
      <c r="C44" s="33" t="n">
        <v>19</v>
      </c>
    </row>
    <row r="45" customFormat="false" ht="14.25" hidden="false" customHeight="false" outlineLevel="0" collapsed="false">
      <c r="A45" s="59" t="n">
        <v>41260</v>
      </c>
      <c r="B45" s="33" t="n">
        <v>318935</v>
      </c>
      <c r="C45" s="33" t="n">
        <v>19</v>
      </c>
    </row>
    <row r="46" customFormat="false" ht="14.25" hidden="false" customHeight="false" outlineLevel="0" collapsed="false">
      <c r="A46" s="66"/>
      <c r="B46" s="67"/>
      <c r="C46" s="67"/>
    </row>
    <row r="47" customFormat="false" ht="14.25" hidden="false" customHeight="false" outlineLevel="0" collapsed="false">
      <c r="B47" s="33"/>
    </row>
    <row r="48" customFormat="false" ht="14.25" hidden="false" customHeight="false" outlineLevel="0" collapsed="false">
      <c r="B48" s="33"/>
    </row>
    <row r="49" customFormat="false" ht="14.25" hidden="false" customHeight="false" outlineLevel="0" collapsed="false">
      <c r="B49" s="33"/>
    </row>
    <row r="50" customFormat="false" ht="14.25" hidden="false" customHeight="false" outlineLevel="0" collapsed="false">
      <c r="B50" s="33"/>
    </row>
    <row r="51" customFormat="false" ht="14.25" hidden="false" customHeight="false" outlineLevel="0" collapsed="false">
      <c r="A51" s="59" t="s">
        <v>12</v>
      </c>
      <c r="B51" s="33"/>
    </row>
    <row r="52" customFormat="false" ht="14.25" hidden="false" customHeight="false" outlineLevel="0" collapsed="false">
      <c r="B52" s="33"/>
    </row>
    <row r="53" customFormat="false" ht="14.25" hidden="false" customHeight="false" outlineLevel="0" collapsed="false">
      <c r="B53" s="33"/>
    </row>
    <row r="54" customFormat="false" ht="14.25" hidden="false" customHeight="false" outlineLevel="0" collapsed="false">
      <c r="B54" s="33"/>
    </row>
    <row r="55" customFormat="false" ht="14.25" hidden="false" customHeight="false" outlineLevel="0" collapsed="false">
      <c r="B55" s="33"/>
    </row>
    <row r="56" customFormat="false" ht="14.25" hidden="false" customHeight="false" outlineLevel="0" collapsed="false">
      <c r="B56" s="33"/>
    </row>
    <row r="57" customFormat="false" ht="14.25" hidden="false" customHeight="false" outlineLevel="0" collapsed="false">
      <c r="B57" s="33"/>
    </row>
    <row r="58" customFormat="false" ht="14.25" hidden="false" customHeight="false" outlineLevel="0" collapsed="false">
      <c r="B58" s="33"/>
    </row>
    <row r="59" customFormat="false" ht="14.25" hidden="false" customHeight="false" outlineLevel="0" collapsed="false">
      <c r="B59" s="33"/>
    </row>
    <row r="60" customFormat="false" ht="14.25" hidden="false" customHeight="false" outlineLevel="0" collapsed="false">
      <c r="B60" s="33"/>
    </row>
    <row r="61" customFormat="false" ht="14.25" hidden="false" customHeight="false" outlineLevel="0" collapsed="false">
      <c r="B61" s="33"/>
    </row>
    <row r="62" customFormat="false" ht="14.25" hidden="false" customHeight="false" outlineLevel="0" collapsed="false">
      <c r="B62" s="33"/>
    </row>
    <row r="63" customFormat="false" ht="14.25" hidden="false" customHeight="false" outlineLevel="0" collapsed="false">
      <c r="B63" s="33"/>
    </row>
    <row r="64" customFormat="false" ht="14.25" hidden="false" customHeight="false" outlineLevel="0" collapsed="false">
      <c r="B64" s="33"/>
    </row>
    <row r="65" customFormat="false" ht="14.25" hidden="false" customHeight="false" outlineLevel="0" collapsed="false">
      <c r="B65" s="33"/>
    </row>
    <row r="66" customFormat="false" ht="14.25" hidden="false" customHeight="false" outlineLevel="0" collapsed="false">
      <c r="B66" s="33"/>
    </row>
    <row r="67" customFormat="false" ht="14.25" hidden="false" customHeight="false" outlineLevel="0" collapsed="false">
      <c r="B67" s="33"/>
    </row>
    <row r="68" customFormat="false" ht="14.25" hidden="false" customHeight="false" outlineLevel="0" collapsed="false">
      <c r="B68" s="33"/>
    </row>
    <row r="69" customFormat="false" ht="14.25" hidden="false" customHeight="false" outlineLevel="0" collapsed="false">
      <c r="B69" s="33"/>
    </row>
    <row r="70" customFormat="false" ht="14.25" hidden="false" customHeight="false" outlineLevel="0" collapsed="false">
      <c r="B70" s="33"/>
    </row>
    <row r="71" customFormat="false" ht="14.25" hidden="false" customHeight="false" outlineLevel="0" collapsed="false">
      <c r="B71" s="33"/>
    </row>
    <row r="72" customFormat="false" ht="14.25" hidden="false" customHeight="false" outlineLevel="0" collapsed="false">
      <c r="B72" s="33"/>
    </row>
    <row r="73" customFormat="false" ht="14.25" hidden="false" customHeight="false" outlineLevel="0" collapsed="false">
      <c r="B73" s="33"/>
    </row>
    <row r="74" customFormat="false" ht="14.25" hidden="false" customHeight="false" outlineLevel="0" collapsed="false">
      <c r="B74" s="33"/>
    </row>
    <row r="75" customFormat="false" ht="14.25" hidden="false" customHeight="false" outlineLevel="0" collapsed="false">
      <c r="B75" s="33"/>
    </row>
    <row r="76" customFormat="false" ht="14.25" hidden="false" customHeight="false" outlineLevel="0" collapsed="false">
      <c r="B76" s="33"/>
    </row>
    <row r="77" customFormat="false" ht="14.25" hidden="false" customHeight="false" outlineLevel="0" collapsed="false">
      <c r="B77" s="33"/>
    </row>
    <row r="78" customFormat="false" ht="14.25" hidden="false" customHeight="false" outlineLevel="0" collapsed="false">
      <c r="B78" s="33"/>
    </row>
    <row r="79" customFormat="false" ht="14.25" hidden="false" customHeight="false" outlineLevel="0" collapsed="false">
      <c r="B79" s="33"/>
    </row>
    <row r="80" customFormat="false" ht="14.25" hidden="false" customHeight="false" outlineLevel="0" collapsed="false">
      <c r="B80" s="33"/>
    </row>
    <row r="81" customFormat="false" ht="14.25" hidden="false" customHeight="false" outlineLevel="0" collapsed="false">
      <c r="B81" s="33"/>
    </row>
    <row r="82" customFormat="false" ht="14.25" hidden="false" customHeight="false" outlineLevel="0" collapsed="false">
      <c r="B82" s="33"/>
    </row>
    <row r="83" customFormat="false" ht="14.25" hidden="false" customHeight="false" outlineLevel="0" collapsed="false">
      <c r="B83" s="33"/>
    </row>
    <row r="84" customFormat="false" ht="14.25" hidden="false" customHeight="false" outlineLevel="0" collapsed="false">
      <c r="B84" s="33"/>
    </row>
    <row r="85" customFormat="false" ht="14.25" hidden="false" customHeight="false" outlineLevel="0" collapsed="false">
      <c r="B85" s="33"/>
    </row>
    <row r="86" customFormat="false" ht="14.25" hidden="false" customHeight="false" outlineLevel="0" collapsed="false">
      <c r="B86" s="33"/>
    </row>
    <row r="87" customFormat="false" ht="14.25" hidden="false" customHeight="false" outlineLevel="0" collapsed="false">
      <c r="B87" s="33"/>
    </row>
    <row r="88" customFormat="false" ht="14.25" hidden="false" customHeight="false" outlineLevel="0" collapsed="false">
      <c r="B88" s="33"/>
    </row>
    <row r="89" customFormat="false" ht="14.25" hidden="false" customHeight="false" outlineLevel="0" collapsed="false">
      <c r="B89" s="33"/>
    </row>
    <row r="90" customFormat="false" ht="14.25" hidden="false" customHeight="false" outlineLevel="0" collapsed="false">
      <c r="B90" s="33"/>
    </row>
    <row r="91" customFormat="false" ht="14.25" hidden="false" customHeight="false" outlineLevel="0" collapsed="false">
      <c r="B91" s="33"/>
    </row>
    <row r="92" customFormat="false" ht="14.25" hidden="false" customHeight="false" outlineLevel="0" collapsed="false">
      <c r="B92" s="33"/>
    </row>
    <row r="93" customFormat="false" ht="14.25" hidden="false" customHeight="false" outlineLevel="0" collapsed="false">
      <c r="B93" s="33"/>
    </row>
    <row r="94" customFormat="false" ht="14.25" hidden="false" customHeight="false" outlineLevel="0" collapsed="false">
      <c r="B94" s="33"/>
    </row>
    <row r="95" customFormat="false" ht="14.25" hidden="false" customHeight="false" outlineLevel="0" collapsed="false">
      <c r="B95" s="33"/>
    </row>
    <row r="96" customFormat="false" ht="14.25" hidden="false" customHeight="false" outlineLevel="0" collapsed="false">
      <c r="B96" s="33"/>
    </row>
    <row r="97" customFormat="false" ht="14.25" hidden="false" customHeight="false" outlineLevel="0" collapsed="false">
      <c r="B97" s="33"/>
    </row>
    <row r="98" customFormat="false" ht="14.25" hidden="false" customHeight="false" outlineLevel="0" collapsed="false">
      <c r="B98" s="33"/>
    </row>
    <row r="99" customFormat="false" ht="14.25" hidden="false" customHeight="false" outlineLevel="0" collapsed="false">
      <c r="B99" s="33"/>
    </row>
    <row r="100" customFormat="false" ht="14.25" hidden="false" customHeight="false" outlineLevel="0" collapsed="false">
      <c r="B100" s="33"/>
    </row>
    <row r="101" customFormat="false" ht="14.25" hidden="false" customHeight="false" outlineLevel="0" collapsed="false">
      <c r="B101" s="33"/>
    </row>
    <row r="102" customFormat="false" ht="14.25" hidden="false" customHeight="false" outlineLevel="0" collapsed="false">
      <c r="B102" s="33"/>
    </row>
    <row r="103" customFormat="false" ht="14.25" hidden="false" customHeight="false" outlineLevel="0" collapsed="false">
      <c r="B103" s="33"/>
    </row>
    <row r="104" customFormat="false" ht="14.25" hidden="false" customHeight="false" outlineLevel="0" collapsed="false">
      <c r="B104" s="33"/>
    </row>
    <row r="105" customFormat="false" ht="14.25" hidden="false" customHeight="false" outlineLevel="0" collapsed="false">
      <c r="B105" s="33"/>
    </row>
    <row r="106" customFormat="false" ht="14.25" hidden="false" customHeight="false" outlineLevel="0" collapsed="false">
      <c r="B106" s="33"/>
    </row>
    <row r="107" customFormat="false" ht="14.25" hidden="false" customHeight="false" outlineLevel="0" collapsed="false">
      <c r="B107" s="33"/>
    </row>
    <row r="108" customFormat="false" ht="14.25" hidden="false" customHeight="false" outlineLevel="0" collapsed="false">
      <c r="B108" s="33"/>
    </row>
    <row r="109" customFormat="false" ht="14.25" hidden="false" customHeight="false" outlineLevel="0" collapsed="false">
      <c r="B109" s="33"/>
    </row>
    <row r="110" customFormat="false" ht="14.25" hidden="false" customHeight="false" outlineLevel="0" collapsed="false">
      <c r="B110" s="33"/>
    </row>
    <row r="111" customFormat="false" ht="14.25" hidden="false" customHeight="false" outlineLevel="0" collapsed="false">
      <c r="B111" s="33"/>
    </row>
    <row r="112" customFormat="false" ht="14.25" hidden="false" customHeight="false" outlineLevel="0" collapsed="false">
      <c r="B112" s="33"/>
    </row>
    <row r="113" customFormat="false" ht="14.25" hidden="false" customHeight="false" outlineLevel="0" collapsed="false">
      <c r="B113" s="33"/>
    </row>
    <row r="114" customFormat="false" ht="14.25" hidden="false" customHeight="false" outlineLevel="0" collapsed="false">
      <c r="B114" s="33"/>
    </row>
    <row r="115" customFormat="false" ht="14.25" hidden="false" customHeight="false" outlineLevel="0" collapsed="false">
      <c r="B115" s="33"/>
    </row>
    <row r="116" customFormat="false" ht="14.25" hidden="false" customHeight="false" outlineLevel="0" collapsed="false">
      <c r="B116" s="33"/>
    </row>
    <row r="117" customFormat="false" ht="14.25" hidden="false" customHeight="false" outlineLevel="0" collapsed="false">
      <c r="B117" s="33"/>
    </row>
    <row r="118" customFormat="false" ht="14.25" hidden="false" customHeight="false" outlineLevel="0" collapsed="false">
      <c r="B118" s="33"/>
    </row>
    <row r="119" customFormat="false" ht="14.25" hidden="false" customHeight="false" outlineLevel="0" collapsed="false">
      <c r="B119" s="33"/>
    </row>
    <row r="120" customFormat="false" ht="14.25" hidden="false" customHeight="false" outlineLevel="0" collapsed="false">
      <c r="B120" s="33"/>
    </row>
    <row r="121" customFormat="false" ht="14.25" hidden="false" customHeight="false" outlineLevel="0" collapsed="false">
      <c r="B121" s="33"/>
    </row>
    <row r="122" customFormat="false" ht="14.25" hidden="false" customHeight="false" outlineLevel="0" collapsed="false">
      <c r="B122" s="33"/>
    </row>
    <row r="123" customFormat="false" ht="14.25" hidden="false" customHeight="false" outlineLevel="0" collapsed="false">
      <c r="B123" s="33"/>
    </row>
    <row r="124" customFormat="false" ht="14.25" hidden="false" customHeight="false" outlineLevel="0" collapsed="false">
      <c r="B124" s="33"/>
    </row>
    <row r="125" customFormat="false" ht="14.25" hidden="false" customHeight="false" outlineLevel="0" collapsed="false">
      <c r="B125" s="33"/>
    </row>
    <row r="126" customFormat="false" ht="14.25" hidden="false" customHeight="false" outlineLevel="0" collapsed="false">
      <c r="B126" s="33"/>
    </row>
    <row r="127" customFormat="false" ht="14.25" hidden="false" customHeight="false" outlineLevel="0" collapsed="false">
      <c r="B127" s="33"/>
    </row>
    <row r="128" customFormat="false" ht="14.25" hidden="false" customHeight="false" outlineLevel="0" collapsed="false">
      <c r="B128" s="33"/>
    </row>
    <row r="129" customFormat="false" ht="14.25" hidden="false" customHeight="false" outlineLevel="0" collapsed="false">
      <c r="B129" s="33"/>
    </row>
    <row r="130" customFormat="false" ht="14.25" hidden="false" customHeight="false" outlineLevel="0" collapsed="false">
      <c r="B130" s="33"/>
    </row>
    <row r="131" customFormat="false" ht="14.25" hidden="false" customHeight="false" outlineLevel="0" collapsed="false">
      <c r="B131" s="33"/>
    </row>
    <row r="132" customFormat="false" ht="14.25" hidden="false" customHeight="false" outlineLevel="0" collapsed="false">
      <c r="B132" s="33"/>
    </row>
    <row r="133" customFormat="false" ht="14.25" hidden="false" customHeight="false" outlineLevel="0" collapsed="false">
      <c r="B133" s="33"/>
    </row>
    <row r="134" customFormat="false" ht="14.25" hidden="false" customHeight="false" outlineLevel="0" collapsed="false">
      <c r="B134" s="33"/>
    </row>
    <row r="135" customFormat="false" ht="14.25" hidden="false" customHeight="false" outlineLevel="0" collapsed="false">
      <c r="B135" s="33"/>
    </row>
    <row r="136" customFormat="false" ht="14.25" hidden="false" customHeight="false" outlineLevel="0" collapsed="false">
      <c r="B136" s="33"/>
    </row>
    <row r="137" customFormat="false" ht="14.25" hidden="false" customHeight="false" outlineLevel="0" collapsed="false">
      <c r="B137" s="33"/>
    </row>
    <row r="138" customFormat="false" ht="14.25" hidden="false" customHeight="false" outlineLevel="0" collapsed="false">
      <c r="B138" s="33"/>
    </row>
    <row r="139" customFormat="false" ht="14.25" hidden="false" customHeight="false" outlineLevel="0" collapsed="false">
      <c r="B139" s="33"/>
    </row>
    <row r="140" customFormat="false" ht="14.25" hidden="false" customHeight="false" outlineLevel="0" collapsed="false">
      <c r="B140" s="33"/>
    </row>
    <row r="141" customFormat="false" ht="14.25" hidden="false" customHeight="false" outlineLevel="0" collapsed="false">
      <c r="B141" s="33"/>
    </row>
    <row r="142" customFormat="false" ht="14.25" hidden="false" customHeight="false" outlineLevel="0" collapsed="false">
      <c r="B142" s="33"/>
    </row>
    <row r="143" customFormat="false" ht="14.25" hidden="false" customHeight="false" outlineLevel="0" collapsed="false">
      <c r="B143" s="33"/>
    </row>
    <row r="144" customFormat="false" ht="14.25" hidden="false" customHeight="false" outlineLevel="0" collapsed="false">
      <c r="B144" s="33"/>
    </row>
    <row r="145" customFormat="false" ht="14.25" hidden="false" customHeight="false" outlineLevel="0" collapsed="false">
      <c r="B145" s="33"/>
    </row>
    <row r="146" customFormat="false" ht="14.25" hidden="false" customHeight="false" outlineLevel="0" collapsed="false">
      <c r="B146" s="33"/>
    </row>
    <row r="147" customFormat="false" ht="14.25" hidden="false" customHeight="false" outlineLevel="0" collapsed="false">
      <c r="B147" s="33"/>
    </row>
    <row r="148" customFormat="false" ht="14.25" hidden="false" customHeight="false" outlineLevel="0" collapsed="false">
      <c r="B148" s="33"/>
    </row>
    <row r="149" customFormat="false" ht="14.25" hidden="false" customHeight="false" outlineLevel="0" collapsed="false">
      <c r="B149" s="33"/>
    </row>
    <row r="150" customFormat="false" ht="14.25" hidden="false" customHeight="false" outlineLevel="0" collapsed="false">
      <c r="B150" s="33"/>
    </row>
    <row r="151" customFormat="false" ht="14.25" hidden="false" customHeight="false" outlineLevel="0" collapsed="false">
      <c r="B151" s="33"/>
    </row>
    <row r="152" customFormat="false" ht="14.25" hidden="false" customHeight="false" outlineLevel="0" collapsed="false">
      <c r="B152" s="33"/>
    </row>
    <row r="153" customFormat="false" ht="14.25" hidden="false" customHeight="false" outlineLevel="0" collapsed="false">
      <c r="B153" s="33"/>
    </row>
    <row r="154" customFormat="false" ht="14.25" hidden="false" customHeight="false" outlineLevel="0" collapsed="false">
      <c r="B154" s="33"/>
    </row>
    <row r="155" customFormat="false" ht="14.25" hidden="false" customHeight="false" outlineLevel="0" collapsed="false">
      <c r="B155" s="33"/>
    </row>
    <row r="156" customFormat="false" ht="14.25" hidden="false" customHeight="false" outlineLevel="0" collapsed="false">
      <c r="B156" s="33"/>
    </row>
    <row r="157" customFormat="false" ht="14.25" hidden="false" customHeight="false" outlineLevel="0" collapsed="false">
      <c r="B157" s="33"/>
    </row>
    <row r="158" customFormat="false" ht="14.25" hidden="false" customHeight="false" outlineLevel="0" collapsed="false">
      <c r="B158" s="33"/>
    </row>
    <row r="159" customFormat="false" ht="14.25" hidden="false" customHeight="false" outlineLevel="0" collapsed="false">
      <c r="B159" s="33"/>
    </row>
    <row r="160" customFormat="false" ht="14.25" hidden="false" customHeight="false" outlineLevel="0" collapsed="false">
      <c r="B160" s="33"/>
    </row>
    <row r="161" customFormat="false" ht="14.25" hidden="false" customHeight="false" outlineLevel="0" collapsed="false">
      <c r="B161" s="33"/>
    </row>
    <row r="162" customFormat="false" ht="14.25" hidden="false" customHeight="false" outlineLevel="0" collapsed="false">
      <c r="B162" s="33"/>
    </row>
    <row r="163" customFormat="false" ht="14.25" hidden="false" customHeight="false" outlineLevel="0" collapsed="false">
      <c r="B163" s="33"/>
    </row>
    <row r="164" customFormat="false" ht="14.25" hidden="false" customHeight="false" outlineLevel="0" collapsed="false">
      <c r="B164" s="33"/>
    </row>
    <row r="165" customFormat="false" ht="14.25" hidden="false" customHeight="false" outlineLevel="0" collapsed="false">
      <c r="B165" s="33"/>
    </row>
    <row r="166" customFormat="false" ht="14.25" hidden="false" customHeight="false" outlineLevel="0" collapsed="false">
      <c r="B166" s="33"/>
    </row>
    <row r="167" customFormat="false" ht="14.25" hidden="false" customHeight="false" outlineLevel="0" collapsed="false">
      <c r="B167" s="33"/>
    </row>
    <row r="168" customFormat="false" ht="14.25" hidden="false" customHeight="false" outlineLevel="0" collapsed="false">
      <c r="B168" s="33"/>
    </row>
    <row r="169" customFormat="false" ht="14.25" hidden="false" customHeight="false" outlineLevel="0" collapsed="false">
      <c r="B169" s="33"/>
    </row>
    <row r="170" customFormat="false" ht="14.25" hidden="false" customHeight="false" outlineLevel="0" collapsed="false">
      <c r="B170" s="33"/>
    </row>
    <row r="171" customFormat="false" ht="14.25" hidden="false" customHeight="false" outlineLevel="0" collapsed="false">
      <c r="B171" s="33"/>
    </row>
    <row r="172" customFormat="false" ht="14.25" hidden="false" customHeight="false" outlineLevel="0" collapsed="false">
      <c r="B172" s="33"/>
    </row>
    <row r="173" customFormat="false" ht="14.25" hidden="false" customHeight="false" outlineLevel="0" collapsed="false">
      <c r="B173" s="33"/>
    </row>
    <row r="174" customFormat="false" ht="14.25" hidden="false" customHeight="false" outlineLevel="0" collapsed="false">
      <c r="B174" s="33"/>
    </row>
    <row r="175" customFormat="false" ht="14.25" hidden="false" customHeight="false" outlineLevel="0" collapsed="false">
      <c r="B175" s="33"/>
    </row>
    <row r="176" customFormat="false" ht="14.25" hidden="false" customHeight="false" outlineLevel="0" collapsed="false">
      <c r="B176" s="33"/>
    </row>
    <row r="177" customFormat="false" ht="14.25" hidden="false" customHeight="false" outlineLevel="0" collapsed="false">
      <c r="B177" s="33"/>
    </row>
    <row r="178" customFormat="false" ht="14.25" hidden="false" customHeight="false" outlineLevel="0" collapsed="false">
      <c r="B178" s="33"/>
    </row>
    <row r="179" customFormat="false" ht="14.25" hidden="false" customHeight="false" outlineLevel="0" collapsed="false">
      <c r="B179" s="33"/>
    </row>
    <row r="180" customFormat="false" ht="14.25" hidden="false" customHeight="false" outlineLevel="0" collapsed="false">
      <c r="B180" s="33"/>
    </row>
    <row r="181" customFormat="false" ht="14.25" hidden="false" customHeight="false" outlineLevel="0" collapsed="false">
      <c r="B181" s="33"/>
    </row>
    <row r="182" customFormat="false" ht="14.25" hidden="false" customHeight="false" outlineLevel="0" collapsed="false">
      <c r="B182" s="33"/>
    </row>
    <row r="183" customFormat="false" ht="14.25" hidden="false" customHeight="false" outlineLevel="0" collapsed="false">
      <c r="B183" s="33"/>
    </row>
    <row r="184" customFormat="false" ht="14.25" hidden="false" customHeight="false" outlineLevel="0" collapsed="false">
      <c r="B184" s="33"/>
    </row>
    <row r="185" customFormat="false" ht="14.25" hidden="false" customHeight="false" outlineLevel="0" collapsed="false">
      <c r="B185" s="33"/>
    </row>
    <row r="186" customFormat="false" ht="14.25" hidden="false" customHeight="false" outlineLevel="0" collapsed="false">
      <c r="B186" s="33"/>
    </row>
    <row r="187" customFormat="false" ht="14.25" hidden="false" customHeight="false" outlineLevel="0" collapsed="false">
      <c r="B187" s="33"/>
    </row>
    <row r="188" customFormat="false" ht="14.25" hidden="false" customHeight="false" outlineLevel="0" collapsed="false">
      <c r="B188" s="33"/>
    </row>
    <row r="189" customFormat="false" ht="14.25" hidden="false" customHeight="false" outlineLevel="0" collapsed="false">
      <c r="B189" s="33"/>
    </row>
    <row r="190" customFormat="false" ht="14.25" hidden="false" customHeight="false" outlineLevel="0" collapsed="false">
      <c r="B190" s="33"/>
    </row>
    <row r="191" customFormat="false" ht="14.25" hidden="false" customHeight="false" outlineLevel="0" collapsed="false">
      <c r="B191" s="33"/>
    </row>
    <row r="192" customFormat="false" ht="14.25" hidden="false" customHeight="false" outlineLevel="0" collapsed="false">
      <c r="B192" s="33"/>
    </row>
    <row r="193" customFormat="false" ht="14.25" hidden="false" customHeight="false" outlineLevel="0" collapsed="false">
      <c r="B193" s="33"/>
    </row>
    <row r="194" customFormat="false" ht="14.25" hidden="false" customHeight="false" outlineLevel="0" collapsed="false">
      <c r="B194" s="33"/>
    </row>
    <row r="195" customFormat="false" ht="14.25" hidden="false" customHeight="false" outlineLevel="0" collapsed="false">
      <c r="B195" s="33"/>
    </row>
    <row r="196" customFormat="false" ht="14.25" hidden="false" customHeight="false" outlineLevel="0" collapsed="false">
      <c r="B196" s="33"/>
    </row>
    <row r="197" customFormat="false" ht="14.25" hidden="false" customHeight="false" outlineLevel="0" collapsed="false">
      <c r="B197" s="33"/>
    </row>
    <row r="198" customFormat="false" ht="14.25" hidden="false" customHeight="false" outlineLevel="0" collapsed="false">
      <c r="B198" s="33"/>
    </row>
    <row r="199" customFormat="false" ht="14.25" hidden="false" customHeight="false" outlineLevel="0" collapsed="false">
      <c r="B199" s="33"/>
    </row>
    <row r="200" customFormat="false" ht="14.25" hidden="false" customHeight="false" outlineLevel="0" collapsed="false">
      <c r="B200" s="33"/>
    </row>
    <row r="201" customFormat="false" ht="14.25" hidden="false" customHeight="false" outlineLevel="0" collapsed="false">
      <c r="B201" s="33"/>
    </row>
    <row r="202" customFormat="false" ht="14.25" hidden="false" customHeight="false" outlineLevel="0" collapsed="false">
      <c r="B202" s="33"/>
    </row>
    <row r="203" customFormat="false" ht="14.25" hidden="false" customHeight="false" outlineLevel="0" collapsed="false">
      <c r="B203" s="33"/>
    </row>
    <row r="204" customFormat="false" ht="14.25" hidden="false" customHeight="false" outlineLevel="0" collapsed="false">
      <c r="B204" s="33"/>
    </row>
    <row r="205" customFormat="false" ht="14.25" hidden="false" customHeight="false" outlineLevel="0" collapsed="false">
      <c r="B205" s="33"/>
    </row>
    <row r="206" customFormat="false" ht="14.25" hidden="false" customHeight="false" outlineLevel="0" collapsed="false">
      <c r="B206" s="33"/>
    </row>
    <row r="207" customFormat="false" ht="14.25" hidden="false" customHeight="false" outlineLevel="0" collapsed="false">
      <c r="B207" s="33"/>
    </row>
    <row r="208" customFormat="false" ht="14.25" hidden="false" customHeight="false" outlineLevel="0" collapsed="false">
      <c r="B208" s="33"/>
    </row>
    <row r="209" customFormat="false" ht="14.25" hidden="false" customHeight="false" outlineLevel="0" collapsed="false">
      <c r="B209" s="33"/>
    </row>
    <row r="210" customFormat="false" ht="14.25" hidden="false" customHeight="false" outlineLevel="0" collapsed="false">
      <c r="B210" s="33"/>
    </row>
    <row r="211" customFormat="false" ht="14.25" hidden="false" customHeight="false" outlineLevel="0" collapsed="false">
      <c r="B211" s="33"/>
    </row>
    <row r="212" customFormat="false" ht="14.25" hidden="false" customHeight="false" outlineLevel="0" collapsed="false">
      <c r="B212" s="33"/>
    </row>
    <row r="213" customFormat="false" ht="14.25" hidden="false" customHeight="false" outlineLevel="0" collapsed="false">
      <c r="B213" s="33"/>
    </row>
    <row r="214" customFormat="false" ht="14.25" hidden="false" customHeight="false" outlineLevel="0" collapsed="false">
      <c r="B214" s="33"/>
    </row>
    <row r="215" customFormat="false" ht="14.25" hidden="false" customHeight="false" outlineLevel="0" collapsed="false">
      <c r="B215" s="33"/>
    </row>
    <row r="216" customFormat="false" ht="14.25" hidden="false" customHeight="false" outlineLevel="0" collapsed="false">
      <c r="B216" s="33"/>
    </row>
    <row r="217" customFormat="false" ht="14.25" hidden="false" customHeight="false" outlineLevel="0" collapsed="false">
      <c r="B217" s="33"/>
    </row>
    <row r="218" customFormat="false" ht="14.25" hidden="false" customHeight="false" outlineLevel="0" collapsed="false">
      <c r="B218" s="33"/>
    </row>
    <row r="219" customFormat="false" ht="14.25" hidden="false" customHeight="false" outlineLevel="0" collapsed="false">
      <c r="B219" s="33"/>
    </row>
    <row r="220" customFormat="false" ht="14.25" hidden="false" customHeight="false" outlineLevel="0" collapsed="false">
      <c r="B220" s="33"/>
    </row>
    <row r="221" customFormat="false" ht="14.25" hidden="false" customHeight="false" outlineLevel="0" collapsed="false">
      <c r="B221" s="33"/>
    </row>
    <row r="222" customFormat="false" ht="14.25" hidden="false" customHeight="false" outlineLevel="0" collapsed="false">
      <c r="B222" s="33"/>
    </row>
    <row r="223" customFormat="false" ht="14.25" hidden="false" customHeight="false" outlineLevel="0" collapsed="false">
      <c r="B223" s="33"/>
    </row>
    <row r="224" customFormat="false" ht="14.25" hidden="false" customHeight="false" outlineLevel="0" collapsed="false">
      <c r="B224" s="33"/>
    </row>
    <row r="225" customFormat="false" ht="14.25" hidden="false" customHeight="false" outlineLevel="0" collapsed="false">
      <c r="B225" s="33"/>
    </row>
    <row r="226" customFormat="false" ht="14.25" hidden="false" customHeight="false" outlineLevel="0" collapsed="false">
      <c r="B226" s="33"/>
    </row>
    <row r="227" customFormat="false" ht="14.25" hidden="false" customHeight="false" outlineLevel="0" collapsed="false">
      <c r="B227" s="33"/>
    </row>
    <row r="228" customFormat="false" ht="14.25" hidden="false" customHeight="false" outlineLevel="0" collapsed="false">
      <c r="B228" s="33"/>
    </row>
    <row r="229" customFormat="false" ht="14.25" hidden="false" customHeight="false" outlineLevel="0" collapsed="false">
      <c r="B229" s="33"/>
    </row>
    <row r="230" customFormat="false" ht="14.25" hidden="false" customHeight="false" outlineLevel="0" collapsed="false">
      <c r="B230" s="33"/>
    </row>
    <row r="231" customFormat="false" ht="14.25" hidden="false" customHeight="false" outlineLevel="0" collapsed="false">
      <c r="B231" s="33"/>
    </row>
    <row r="232" customFormat="false" ht="14.25" hidden="false" customHeight="false" outlineLevel="0" collapsed="false">
      <c r="B232" s="33"/>
    </row>
    <row r="233" customFormat="false" ht="14.25" hidden="false" customHeight="false" outlineLevel="0" collapsed="false">
      <c r="B233" s="33"/>
    </row>
    <row r="234" customFormat="false" ht="14.25" hidden="false" customHeight="false" outlineLevel="0" collapsed="false">
      <c r="B234" s="33"/>
    </row>
    <row r="235" customFormat="false" ht="14.25" hidden="false" customHeight="false" outlineLevel="0" collapsed="false">
      <c r="B235" s="33"/>
    </row>
    <row r="236" customFormat="false" ht="14.25" hidden="false" customHeight="false" outlineLevel="0" collapsed="false">
      <c r="B236" s="33"/>
    </row>
    <row r="237" customFormat="false" ht="14.25" hidden="false" customHeight="false" outlineLevel="0" collapsed="false">
      <c r="B237" s="33"/>
    </row>
    <row r="238" customFormat="false" ht="14.25" hidden="false" customHeight="false" outlineLevel="0" collapsed="false">
      <c r="B238" s="33"/>
    </row>
    <row r="239" customFormat="false" ht="14.25" hidden="false" customHeight="false" outlineLevel="0" collapsed="false">
      <c r="B239" s="33"/>
    </row>
    <row r="240" customFormat="false" ht="14.25" hidden="false" customHeight="false" outlineLevel="0" collapsed="false">
      <c r="B240" s="33"/>
    </row>
    <row r="241" customFormat="false" ht="14.25" hidden="false" customHeight="false" outlineLevel="0" collapsed="false">
      <c r="B241" s="33"/>
    </row>
    <row r="242" customFormat="false" ht="14.25" hidden="false" customHeight="false" outlineLevel="0" collapsed="false">
      <c r="B242" s="33"/>
    </row>
    <row r="243" customFormat="false" ht="14.25" hidden="false" customHeight="false" outlineLevel="0" collapsed="false">
      <c r="B243" s="33"/>
    </row>
    <row r="244" customFormat="false" ht="14.25" hidden="false" customHeight="false" outlineLevel="0" collapsed="false">
      <c r="B244" s="33"/>
    </row>
    <row r="245" customFormat="false" ht="14.25" hidden="false" customHeight="false" outlineLevel="0" collapsed="false">
      <c r="B245" s="33"/>
    </row>
    <row r="246" customFormat="false" ht="14.25" hidden="false" customHeight="false" outlineLevel="0" collapsed="false">
      <c r="B246" s="33"/>
    </row>
    <row r="247" customFormat="false" ht="14.25" hidden="false" customHeight="false" outlineLevel="0" collapsed="false">
      <c r="B247" s="33"/>
    </row>
    <row r="248" customFormat="false" ht="14.25" hidden="false" customHeight="false" outlineLevel="0" collapsed="false">
      <c r="B248" s="33"/>
    </row>
    <row r="249" customFormat="false" ht="14.25" hidden="false" customHeight="false" outlineLevel="0" collapsed="false">
      <c r="B249" s="33"/>
    </row>
    <row r="250" customFormat="false" ht="14.25" hidden="false" customHeight="false" outlineLevel="0" collapsed="false">
      <c r="B250" s="33"/>
    </row>
    <row r="251" customFormat="false" ht="14.25" hidden="false" customHeight="false" outlineLevel="0" collapsed="false">
      <c r="B251" s="33"/>
    </row>
    <row r="252" customFormat="false" ht="14.25" hidden="false" customHeight="false" outlineLevel="0" collapsed="false">
      <c r="B252" s="33"/>
    </row>
    <row r="253" customFormat="false" ht="14.25" hidden="false" customHeight="false" outlineLevel="0" collapsed="false">
      <c r="B253" s="33"/>
    </row>
    <row r="254" customFormat="false" ht="14.25" hidden="false" customHeight="false" outlineLevel="0" collapsed="false">
      <c r="B254" s="33"/>
    </row>
    <row r="255" customFormat="false" ht="14.25" hidden="false" customHeight="false" outlineLevel="0" collapsed="false">
      <c r="B255" s="33"/>
    </row>
    <row r="256" customFormat="false" ht="14.25" hidden="false" customHeight="false" outlineLevel="0" collapsed="false">
      <c r="B256" s="33"/>
    </row>
    <row r="257" customFormat="false" ht="14.25" hidden="false" customHeight="false" outlineLevel="0" collapsed="false">
      <c r="B257" s="33"/>
    </row>
    <row r="258" customFormat="false" ht="14.25" hidden="false" customHeight="false" outlineLevel="0" collapsed="false">
      <c r="B258" s="33"/>
    </row>
    <row r="259" customFormat="false" ht="14.25" hidden="false" customHeight="false" outlineLevel="0" collapsed="false">
      <c r="B259" s="33"/>
    </row>
    <row r="260" customFormat="false" ht="14.25" hidden="false" customHeight="false" outlineLevel="0" collapsed="false">
      <c r="B260" s="33"/>
    </row>
    <row r="261" customFormat="false" ht="14.25" hidden="false" customHeight="false" outlineLevel="0" collapsed="false">
      <c r="B261" s="33"/>
    </row>
    <row r="262" customFormat="false" ht="14.25" hidden="false" customHeight="false" outlineLevel="0" collapsed="false">
      <c r="B262" s="33"/>
    </row>
    <row r="263" customFormat="false" ht="14.25" hidden="false" customHeight="false" outlineLevel="0" collapsed="false">
      <c r="B263" s="33"/>
    </row>
    <row r="264" customFormat="false" ht="14.25" hidden="false" customHeight="false" outlineLevel="0" collapsed="false">
      <c r="B264" s="33"/>
    </row>
    <row r="265" customFormat="false" ht="14.25" hidden="false" customHeight="false" outlineLevel="0" collapsed="false">
      <c r="B265" s="33"/>
    </row>
    <row r="266" customFormat="false" ht="14.25" hidden="false" customHeight="false" outlineLevel="0" collapsed="false">
      <c r="B266" s="33"/>
    </row>
    <row r="267" customFormat="false" ht="14.25" hidden="false" customHeight="false" outlineLevel="0" collapsed="false">
      <c r="B267" s="33"/>
    </row>
    <row r="268" customFormat="false" ht="14.25" hidden="false" customHeight="false" outlineLevel="0" collapsed="false">
      <c r="B268" s="33"/>
    </row>
    <row r="269" customFormat="false" ht="14.25" hidden="false" customHeight="false" outlineLevel="0" collapsed="false">
      <c r="B269" s="33"/>
    </row>
    <row r="270" customFormat="false" ht="14.25" hidden="false" customHeight="false" outlineLevel="0" collapsed="false">
      <c r="B270" s="33"/>
    </row>
    <row r="271" customFormat="false" ht="14.25" hidden="false" customHeight="false" outlineLevel="0" collapsed="false">
      <c r="B271" s="33"/>
    </row>
    <row r="272" customFormat="false" ht="14.25" hidden="false" customHeight="false" outlineLevel="0" collapsed="false">
      <c r="B272" s="33"/>
    </row>
    <row r="273" customFormat="false" ht="14.25" hidden="false" customHeight="false" outlineLevel="0" collapsed="false">
      <c r="B273" s="33"/>
    </row>
    <row r="274" customFormat="false" ht="14.25" hidden="false" customHeight="false" outlineLevel="0" collapsed="false">
      <c r="B274" s="33"/>
    </row>
    <row r="275" customFormat="false" ht="14.25" hidden="false" customHeight="false" outlineLevel="0" collapsed="false">
      <c r="B275" s="33"/>
    </row>
    <row r="276" customFormat="false" ht="14.25" hidden="false" customHeight="false" outlineLevel="0" collapsed="false">
      <c r="B276" s="33"/>
    </row>
    <row r="277" customFormat="false" ht="14.25" hidden="false" customHeight="false" outlineLevel="0" collapsed="false">
      <c r="B277" s="33"/>
    </row>
    <row r="278" customFormat="false" ht="14.25" hidden="false" customHeight="false" outlineLevel="0" collapsed="false">
      <c r="B278" s="33"/>
    </row>
    <row r="279" customFormat="false" ht="14.25" hidden="false" customHeight="false" outlineLevel="0" collapsed="false">
      <c r="B279" s="33"/>
    </row>
    <row r="280" customFormat="false" ht="14.25" hidden="false" customHeight="false" outlineLevel="0" collapsed="false">
      <c r="B280" s="33"/>
    </row>
    <row r="281" customFormat="false" ht="14.25" hidden="false" customHeight="false" outlineLevel="0" collapsed="false">
      <c r="B281" s="33"/>
    </row>
    <row r="282" customFormat="false" ht="14.25" hidden="false" customHeight="false" outlineLevel="0" collapsed="false">
      <c r="B282" s="33"/>
    </row>
    <row r="283" customFormat="false" ht="14.25" hidden="false" customHeight="false" outlineLevel="0" collapsed="false">
      <c r="B283" s="33"/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H137"/>
  <sheetViews>
    <sheetView showFormulas="false" showGridLines="true" showRowColHeaders="true" showZeros="true" rightToLeft="false" tabSelected="false" showOutlineSymbols="true" defaultGridColor="true" view="normal" topLeftCell="A26" colorId="64" zoomScale="100" zoomScaleNormal="100" zoomScalePageLayoutView="100" workbookViewId="0">
      <selection pane="topLeft" activeCell="A26" activeCellId="0" sqref="A26"/>
    </sheetView>
  </sheetViews>
  <sheetFormatPr defaultColWidth="10.6875" defaultRowHeight="12.75" zeroHeight="false" outlineLevelRow="0" outlineLevelCol="0"/>
  <cols>
    <col collapsed="false" customWidth="true" hidden="false" outlineLevel="0" max="1" min="1" style="0" width="13.57"/>
    <col collapsed="false" customWidth="true" hidden="false" outlineLevel="0" max="2" min="2" style="0" width="16.14"/>
    <col collapsed="false" customWidth="true" hidden="false" outlineLevel="0" max="3" min="3" style="0" width="12.86"/>
    <col collapsed="false" customWidth="true" hidden="false" outlineLevel="0" max="4" min="4" style="0" width="15.15"/>
  </cols>
  <sheetData>
    <row r="1" customFormat="false" ht="15" hidden="false" customHeight="false" outlineLevel="0" collapsed="false">
      <c r="A1" s="54" t="s">
        <v>0</v>
      </c>
      <c r="B1" s="25"/>
      <c r="C1" s="33"/>
      <c r="D1" s="60" t="s">
        <v>13</v>
      </c>
      <c r="E1" s="25"/>
    </row>
    <row r="2" customFormat="false" ht="14.25" hidden="false" customHeight="false" outlineLevel="0" collapsed="false">
      <c r="A2" s="61"/>
      <c r="B2" s="25"/>
      <c r="C2" s="33"/>
      <c r="D2" s="25"/>
      <c r="E2" s="25"/>
    </row>
    <row r="3" customFormat="false" ht="15" hidden="false" customHeight="false" outlineLevel="0" collapsed="false">
      <c r="A3" s="54" t="s">
        <v>1</v>
      </c>
      <c r="B3" s="25"/>
      <c r="C3" s="33"/>
      <c r="D3" s="25"/>
      <c r="E3" s="25"/>
    </row>
    <row r="4" customFormat="false" ht="14.25" hidden="false" customHeight="false" outlineLevel="0" collapsed="false">
      <c r="A4" s="61"/>
      <c r="B4" s="25"/>
      <c r="C4" s="33"/>
      <c r="D4" s="25"/>
      <c r="E4" s="25"/>
    </row>
    <row r="5" customFormat="false" ht="15" hidden="false" customHeight="false" outlineLevel="0" collapsed="false">
      <c r="A5" s="54" t="s">
        <v>2</v>
      </c>
      <c r="B5" s="28" t="s">
        <v>11</v>
      </c>
      <c r="C5" s="29" t="s">
        <v>5</v>
      </c>
      <c r="D5" s="68" t="s">
        <v>14</v>
      </c>
      <c r="E5" s="25"/>
    </row>
    <row r="6" customFormat="false" ht="12.75" hidden="false" customHeight="false" outlineLevel="0" collapsed="false">
      <c r="A6" s="69" t="n">
        <v>41277</v>
      </c>
      <c r="B6" s="70" t="n">
        <v>2983797</v>
      </c>
      <c r="C6" s="71" t="n">
        <v>19.25</v>
      </c>
      <c r="D6" s="70" t="n">
        <f aca="false">+B6*C6</f>
        <v>57438092.25</v>
      </c>
      <c r="G6" s="69"/>
      <c r="H6" s="71"/>
    </row>
    <row r="7" customFormat="false" ht="12.75" hidden="false" customHeight="false" outlineLevel="0" collapsed="false">
      <c r="A7" s="69" t="n">
        <v>41281</v>
      </c>
      <c r="B7" s="70" t="n">
        <v>2597373</v>
      </c>
      <c r="C7" s="71" t="n">
        <v>19.25</v>
      </c>
      <c r="D7" s="70" t="n">
        <f aca="false">+B7*C7</f>
        <v>49999430.25</v>
      </c>
      <c r="G7" s="69"/>
      <c r="H7" s="71"/>
    </row>
    <row r="8" customFormat="false" ht="12.75" hidden="false" customHeight="false" outlineLevel="0" collapsed="false">
      <c r="A8" s="69" t="n">
        <v>41288</v>
      </c>
      <c r="B8" s="70" t="n">
        <v>1123880</v>
      </c>
      <c r="C8" s="71" t="n">
        <v>19.35</v>
      </c>
      <c r="D8" s="70" t="n">
        <f aca="false">+B8*C8</f>
        <v>21747078</v>
      </c>
      <c r="G8" s="69"/>
      <c r="H8" s="71"/>
    </row>
    <row r="9" customFormat="false" ht="12.75" hidden="false" customHeight="false" outlineLevel="0" collapsed="false">
      <c r="A9" s="69" t="n">
        <v>41298</v>
      </c>
      <c r="B9" s="70" t="n">
        <v>261000</v>
      </c>
      <c r="C9" s="71" t="n">
        <v>19.35</v>
      </c>
      <c r="D9" s="70" t="n">
        <f aca="false">+B9*C9</f>
        <v>5050350</v>
      </c>
      <c r="G9" s="69"/>
      <c r="H9" s="71"/>
    </row>
    <row r="10" customFormat="false" ht="12.75" hidden="false" customHeight="false" outlineLevel="0" collapsed="false">
      <c r="A10" s="69" t="n">
        <v>41306</v>
      </c>
      <c r="B10" s="70" t="n">
        <v>2500</v>
      </c>
      <c r="C10" s="71" t="n">
        <v>19.35</v>
      </c>
      <c r="D10" s="70" t="n">
        <f aca="false">+B10*C10</f>
        <v>48375</v>
      </c>
      <c r="G10" s="69"/>
      <c r="H10" s="71"/>
    </row>
    <row r="11" customFormat="false" ht="12.75" hidden="false" customHeight="false" outlineLevel="0" collapsed="false">
      <c r="A11" s="69" t="n">
        <v>41309</v>
      </c>
      <c r="B11" s="70" t="n">
        <v>44173</v>
      </c>
      <c r="C11" s="71" t="n">
        <v>19.25</v>
      </c>
      <c r="D11" s="70" t="n">
        <f aca="false">+B11*C11</f>
        <v>850330.25</v>
      </c>
      <c r="G11" s="69"/>
      <c r="H11" s="71"/>
    </row>
    <row r="12" customFormat="false" ht="12.75" hidden="false" customHeight="false" outlineLevel="0" collapsed="false">
      <c r="A12" s="69" t="n">
        <v>41334</v>
      </c>
      <c r="B12" s="70" t="n">
        <v>345020</v>
      </c>
      <c r="C12" s="71" t="n">
        <v>19.35</v>
      </c>
      <c r="D12" s="70" t="n">
        <f aca="false">+B12*C12</f>
        <v>6676137</v>
      </c>
      <c r="G12" s="69"/>
      <c r="H12" s="71"/>
    </row>
    <row r="13" customFormat="false" ht="12.75" hidden="false" customHeight="false" outlineLevel="0" collapsed="false">
      <c r="A13" s="72" t="n">
        <v>41344</v>
      </c>
      <c r="B13" s="70" t="n">
        <v>77630</v>
      </c>
      <c r="C13" s="71" t="n">
        <v>19.45</v>
      </c>
      <c r="D13" s="70" t="n">
        <f aca="false">+B13*C13</f>
        <v>1509903.5</v>
      </c>
      <c r="G13" s="69"/>
      <c r="H13" s="71"/>
    </row>
    <row r="14" customFormat="false" ht="12.75" hidden="false" customHeight="false" outlineLevel="0" collapsed="false">
      <c r="A14" s="69" t="n">
        <v>41353</v>
      </c>
      <c r="B14" s="70" t="n">
        <v>64775</v>
      </c>
      <c r="C14" s="71" t="n">
        <v>19.76</v>
      </c>
      <c r="D14" s="70" t="n">
        <f aca="false">+B14*C14</f>
        <v>1279954</v>
      </c>
      <c r="G14" s="69"/>
      <c r="H14" s="71"/>
    </row>
    <row r="15" customFormat="false" ht="12.75" hidden="false" customHeight="false" outlineLevel="0" collapsed="false">
      <c r="A15" s="69" t="n">
        <v>41372</v>
      </c>
      <c r="B15" s="70" t="n">
        <v>2724306</v>
      </c>
      <c r="C15" s="71" t="n">
        <v>19.35</v>
      </c>
      <c r="D15" s="70" t="n">
        <f aca="false">+B15*C15</f>
        <v>52715321.1</v>
      </c>
      <c r="G15" s="69"/>
      <c r="H15" s="71"/>
    </row>
    <row r="16" customFormat="false" ht="12.75" hidden="false" customHeight="false" outlineLevel="0" collapsed="false">
      <c r="A16" s="69" t="n">
        <v>41374</v>
      </c>
      <c r="B16" s="70" t="n">
        <v>2160079</v>
      </c>
      <c r="C16" s="71" t="n">
        <v>19.5</v>
      </c>
      <c r="D16" s="70" t="n">
        <f aca="false">+B16*C16</f>
        <v>42121540.5</v>
      </c>
      <c r="G16" s="69"/>
      <c r="H16" s="71"/>
    </row>
    <row r="17" customFormat="false" ht="12.75" hidden="false" customHeight="false" outlineLevel="0" collapsed="false">
      <c r="A17" s="69" t="n">
        <v>41376</v>
      </c>
      <c r="B17" s="70" t="n">
        <v>1166742</v>
      </c>
      <c r="C17" s="71" t="n">
        <v>19.35</v>
      </c>
      <c r="D17" s="70" t="n">
        <f aca="false">+B17*C17</f>
        <v>22576457.7</v>
      </c>
      <c r="G17" s="72"/>
      <c r="H17" s="71"/>
    </row>
    <row r="18" customFormat="false" ht="12.75" hidden="false" customHeight="false" outlineLevel="0" collapsed="false">
      <c r="A18" s="69" t="n">
        <v>41389</v>
      </c>
      <c r="B18" s="70" t="n">
        <v>453919</v>
      </c>
      <c r="C18" s="71" t="n">
        <v>19.38</v>
      </c>
      <c r="D18" s="70" t="n">
        <f aca="false">+B18*C18</f>
        <v>8796950.22</v>
      </c>
      <c r="G18" s="69"/>
      <c r="H18" s="71"/>
    </row>
    <row r="19" customFormat="false" ht="12.75" hidden="false" customHeight="false" outlineLevel="0" collapsed="false">
      <c r="D19" s="73" t="n">
        <f aca="false">SUM(D6:D18)</f>
        <v>270809919.77</v>
      </c>
      <c r="G19" s="69"/>
      <c r="H19" s="71"/>
    </row>
    <row r="20" customFormat="false" ht="12.75" hidden="false" customHeight="false" outlineLevel="0" collapsed="false">
      <c r="A20" s="69" t="n">
        <v>41457</v>
      </c>
      <c r="B20" s="70" t="n">
        <v>1500000</v>
      </c>
      <c r="C20" s="71" t="n">
        <v>19.39</v>
      </c>
      <c r="D20" s="70" t="n">
        <f aca="false">+B20*C20</f>
        <v>29085000</v>
      </c>
      <c r="G20" s="69"/>
      <c r="H20" s="71"/>
    </row>
    <row r="21" customFormat="false" ht="12.75" hidden="false" customHeight="false" outlineLevel="0" collapsed="false">
      <c r="A21" s="69" t="n">
        <v>41473</v>
      </c>
      <c r="B21" s="70" t="n">
        <v>510000</v>
      </c>
      <c r="C21" s="71" t="n">
        <v>19.59</v>
      </c>
      <c r="D21" s="70" t="n">
        <f aca="false">+B21*C21</f>
        <v>9990900</v>
      </c>
      <c r="G21" s="69"/>
      <c r="H21" s="71"/>
    </row>
    <row r="22" customFormat="false" ht="12.75" hidden="false" customHeight="false" outlineLevel="0" collapsed="false">
      <c r="A22" s="69" t="n">
        <v>41474</v>
      </c>
      <c r="B22" s="70" t="n">
        <v>215178</v>
      </c>
      <c r="C22" s="71" t="n">
        <v>19.59</v>
      </c>
      <c r="D22" s="70" t="n">
        <f aca="false">+B22*C22</f>
        <v>4215337.02</v>
      </c>
      <c r="G22" s="69"/>
      <c r="H22" s="71"/>
    </row>
    <row r="23" customFormat="false" ht="12.75" hidden="false" customHeight="false" outlineLevel="0" collapsed="false">
      <c r="A23" s="69" t="n">
        <v>41478</v>
      </c>
      <c r="B23" s="70" t="n">
        <v>500000</v>
      </c>
      <c r="C23" s="71" t="n">
        <v>19.97</v>
      </c>
      <c r="D23" s="70" t="n">
        <f aca="false">+B23*C23</f>
        <v>9985000</v>
      </c>
      <c r="G23" s="69"/>
      <c r="H23" s="71"/>
    </row>
    <row r="24" customFormat="false" ht="12.75" hidden="false" customHeight="false" outlineLevel="0" collapsed="false">
      <c r="A24" s="69" t="n">
        <v>41479</v>
      </c>
      <c r="B24" s="70" t="n">
        <v>2601814</v>
      </c>
      <c r="C24" s="71" t="n">
        <v>20.13</v>
      </c>
      <c r="D24" s="70" t="n">
        <f aca="false">+B24*C24</f>
        <v>52374515.82</v>
      </c>
      <c r="G24" s="69"/>
      <c r="H24" s="71"/>
    </row>
    <row r="25" customFormat="false" ht="12.75" hidden="false" customHeight="false" outlineLevel="0" collapsed="false">
      <c r="A25" s="69" t="n">
        <v>41481</v>
      </c>
      <c r="B25" s="70" t="n">
        <v>750000</v>
      </c>
      <c r="C25" s="71" t="n">
        <v>20.15</v>
      </c>
      <c r="D25" s="70" t="n">
        <f aca="false">+B25*C25</f>
        <v>15112500</v>
      </c>
      <c r="G25" s="69"/>
      <c r="H25" s="71"/>
    </row>
    <row r="26" customFormat="false" ht="12.75" hidden="false" customHeight="false" outlineLevel="0" collapsed="false">
      <c r="A26" s="69" t="n">
        <v>41484</v>
      </c>
      <c r="B26" s="70" t="n">
        <v>5298989</v>
      </c>
      <c r="C26" s="71" t="n">
        <v>20.15</v>
      </c>
      <c r="D26" s="70" t="n">
        <f aca="false">+B26*C26</f>
        <v>106774628.35</v>
      </c>
      <c r="G26" s="69"/>
      <c r="H26" s="71"/>
    </row>
    <row r="27" customFormat="false" ht="12.75" hidden="false" customHeight="false" outlineLevel="0" collapsed="false">
      <c r="A27" s="69" t="n">
        <v>41485</v>
      </c>
      <c r="B27" s="70" t="n">
        <v>50000</v>
      </c>
      <c r="C27" s="71" t="n">
        <v>20.2</v>
      </c>
      <c r="D27" s="70" t="n">
        <f aca="false">+B27*C27</f>
        <v>1010000</v>
      </c>
      <c r="G27" s="69"/>
      <c r="H27" s="71"/>
    </row>
    <row r="28" customFormat="false" ht="12.75" hidden="false" customHeight="false" outlineLevel="0" collapsed="false">
      <c r="A28" s="69" t="n">
        <v>41486</v>
      </c>
      <c r="B28" s="70" t="n">
        <v>1787660</v>
      </c>
      <c r="C28" s="71" t="n">
        <v>20.2</v>
      </c>
      <c r="D28" s="70" t="n">
        <f aca="false">+B28*C28</f>
        <v>36110732</v>
      </c>
      <c r="G28" s="69"/>
      <c r="H28" s="71"/>
    </row>
    <row r="29" customFormat="false" ht="12.75" hidden="false" customHeight="false" outlineLevel="0" collapsed="false">
      <c r="A29" s="69" t="n">
        <v>41507</v>
      </c>
      <c r="B29" s="70" t="n">
        <v>100454</v>
      </c>
      <c r="C29" s="71" t="n">
        <v>20.2</v>
      </c>
      <c r="D29" s="70" t="n">
        <f aca="false">+B29*C29</f>
        <v>2029170.8</v>
      </c>
      <c r="G29" s="69"/>
      <c r="H29" s="71"/>
    </row>
    <row r="30" customFormat="false" ht="12.75" hidden="false" customHeight="false" outlineLevel="0" collapsed="false">
      <c r="A30" s="69" t="n">
        <v>41513</v>
      </c>
      <c r="B30" s="70" t="n">
        <v>155595</v>
      </c>
      <c r="C30" s="71" t="n">
        <v>20.25</v>
      </c>
      <c r="D30" s="70" t="n">
        <f aca="false">+B30*C30</f>
        <v>3150798.75</v>
      </c>
      <c r="G30" s="72"/>
      <c r="H30" s="71"/>
    </row>
    <row r="31" customFormat="false" ht="12.75" hidden="false" customHeight="false" outlineLevel="0" collapsed="false">
      <c r="A31" s="72" t="n">
        <v>41530</v>
      </c>
      <c r="B31" s="70" t="n">
        <v>1144531</v>
      </c>
      <c r="C31" s="71" t="n">
        <v>20.25</v>
      </c>
      <c r="D31" s="70" t="n">
        <f aca="false">+B31*C31</f>
        <v>23176752.75</v>
      </c>
      <c r="G31" s="72"/>
      <c r="H31" s="71"/>
    </row>
    <row r="32" customFormat="false" ht="12.75" hidden="false" customHeight="false" outlineLevel="0" collapsed="false">
      <c r="A32" s="72" t="n">
        <v>41542</v>
      </c>
      <c r="B32" s="70" t="n">
        <v>84405</v>
      </c>
      <c r="C32" s="71" t="n">
        <v>20.25</v>
      </c>
      <c r="D32" s="70" t="n">
        <f aca="false">+B32*C32</f>
        <v>1709201.25</v>
      </c>
      <c r="G32" s="72"/>
      <c r="H32" s="71"/>
    </row>
    <row r="33" customFormat="false" ht="12.75" hidden="false" customHeight="false" outlineLevel="0" collapsed="false">
      <c r="A33" s="72" t="n">
        <v>41543</v>
      </c>
      <c r="B33" s="70" t="n">
        <v>127956</v>
      </c>
      <c r="C33" s="71" t="n">
        <v>20.25</v>
      </c>
      <c r="D33" s="70" t="n">
        <f aca="false">+B33*C33</f>
        <v>2591109</v>
      </c>
      <c r="G33" s="72"/>
      <c r="H33" s="71"/>
    </row>
    <row r="34" customFormat="false" ht="12.75" hidden="false" customHeight="false" outlineLevel="0" collapsed="false">
      <c r="A34" s="72" t="n">
        <v>41551</v>
      </c>
      <c r="B34" s="70" t="n">
        <v>187131</v>
      </c>
      <c r="C34" s="71" t="n">
        <v>20.25</v>
      </c>
      <c r="D34" s="70" t="n">
        <f aca="false">+B34*C34</f>
        <v>3789402.75</v>
      </c>
      <c r="G34" s="72"/>
      <c r="H34" s="71"/>
    </row>
    <row r="35" customFormat="false" ht="12.75" hidden="false" customHeight="false" outlineLevel="0" collapsed="false">
      <c r="A35" s="72" t="n">
        <v>41557</v>
      </c>
      <c r="B35" s="70" t="n">
        <v>200000</v>
      </c>
      <c r="C35" s="71" t="n">
        <v>20.25</v>
      </c>
      <c r="D35" s="70" t="n">
        <f aca="false">+B35*C35</f>
        <v>4050000</v>
      </c>
      <c r="G35" s="72"/>
      <c r="H35" s="71"/>
    </row>
    <row r="36" customFormat="false" ht="12.75" hidden="false" customHeight="false" outlineLevel="0" collapsed="false">
      <c r="A36" s="72" t="n">
        <v>41561</v>
      </c>
      <c r="B36" s="70" t="n">
        <v>121052</v>
      </c>
      <c r="C36" s="71" t="n">
        <v>20.25</v>
      </c>
      <c r="D36" s="70" t="n">
        <f aca="false">+B36*C36</f>
        <v>2451303</v>
      </c>
      <c r="G36" s="72"/>
      <c r="H36" s="71"/>
    </row>
    <row r="37" customFormat="false" ht="12.75" hidden="false" customHeight="false" outlineLevel="0" collapsed="false">
      <c r="A37" s="72" t="n">
        <v>41569</v>
      </c>
      <c r="B37" s="70" t="n">
        <v>59378</v>
      </c>
      <c r="C37" s="71" t="n">
        <v>20.25</v>
      </c>
      <c r="D37" s="70" t="n">
        <f aca="false">+B37*C37</f>
        <v>1202404.5</v>
      </c>
      <c r="G37" s="72"/>
      <c r="H37" s="71"/>
    </row>
    <row r="38" customFormat="false" ht="12.75" hidden="false" customHeight="false" outlineLevel="0" collapsed="false">
      <c r="A38" s="72" t="n">
        <v>41610</v>
      </c>
      <c r="B38" s="70" t="n">
        <v>49880</v>
      </c>
      <c r="C38" s="71" t="n">
        <v>20.25</v>
      </c>
      <c r="D38" s="70" t="n">
        <f aca="false">+B38*C38</f>
        <v>1010070</v>
      </c>
    </row>
    <row r="39" customFormat="false" ht="12.75" hidden="false" customHeight="false" outlineLevel="0" collapsed="false">
      <c r="A39" s="72"/>
      <c r="B39" s="70"/>
      <c r="C39" s="71"/>
      <c r="D39" s="73" t="n">
        <f aca="false">SUM(D20:D38)</f>
        <v>309818825.99</v>
      </c>
    </row>
    <row r="40" customFormat="false" ht="12.75" hidden="false" customHeight="false" outlineLevel="0" collapsed="false">
      <c r="A40" s="72"/>
      <c r="B40" s="70"/>
      <c r="C40" s="71"/>
    </row>
    <row r="41" customFormat="false" ht="12.75" hidden="false" customHeight="false" outlineLevel="0" collapsed="false">
      <c r="A41" s="72"/>
      <c r="B41" s="70"/>
      <c r="C41" s="71"/>
      <c r="D41" s="70" t="n">
        <v>270809920</v>
      </c>
    </row>
    <row r="42" customFormat="false" ht="12.75" hidden="false" customHeight="false" outlineLevel="0" collapsed="false">
      <c r="A42" s="72"/>
      <c r="B42" s="70"/>
      <c r="C42" s="71"/>
      <c r="D42" s="70" t="n">
        <v>309818826</v>
      </c>
    </row>
    <row r="43" customFormat="false" ht="12.75" hidden="false" customHeight="false" outlineLevel="0" collapsed="false">
      <c r="A43" s="72"/>
      <c r="B43" s="70"/>
      <c r="C43" s="71"/>
      <c r="D43" s="70" t="n">
        <f aca="false">SUM(D41:D42)</f>
        <v>580628746</v>
      </c>
    </row>
    <row r="44" customFormat="false" ht="12.75" hidden="false" customHeight="false" outlineLevel="0" collapsed="false">
      <c r="A44" s="72"/>
      <c r="B44" s="70"/>
      <c r="C44" s="71"/>
    </row>
    <row r="45" customFormat="false" ht="12.75" hidden="false" customHeight="false" outlineLevel="0" collapsed="false">
      <c r="A45" s="72"/>
      <c r="B45" s="70"/>
      <c r="C45" s="71"/>
    </row>
    <row r="46" customFormat="false" ht="12.75" hidden="false" customHeight="false" outlineLevel="0" collapsed="false">
      <c r="A46" s="72"/>
      <c r="B46" s="70"/>
      <c r="C46" s="71"/>
    </row>
    <row r="47" customFormat="false" ht="12.75" hidden="false" customHeight="false" outlineLevel="0" collapsed="false">
      <c r="A47" s="72"/>
      <c r="B47" s="70"/>
      <c r="C47" s="71"/>
    </row>
    <row r="48" customFormat="false" ht="12.75" hidden="false" customHeight="false" outlineLevel="0" collapsed="false">
      <c r="A48" s="69"/>
      <c r="B48" s="70"/>
      <c r="C48" s="71"/>
    </row>
    <row r="49" customFormat="false" ht="12.75" hidden="false" customHeight="false" outlineLevel="0" collapsed="false">
      <c r="A49" s="69"/>
      <c r="B49" s="70"/>
      <c r="C49" s="71"/>
    </row>
    <row r="50" customFormat="false" ht="12.75" hidden="false" customHeight="false" outlineLevel="0" collapsed="false">
      <c r="A50" s="69"/>
      <c r="C50" s="71"/>
    </row>
    <row r="51" customFormat="false" ht="12.75" hidden="false" customHeight="false" outlineLevel="0" collapsed="false">
      <c r="A51" s="69"/>
      <c r="C51" s="71"/>
    </row>
    <row r="52" customFormat="false" ht="12.75" hidden="false" customHeight="false" outlineLevel="0" collapsed="false">
      <c r="A52" s="69"/>
      <c r="C52" s="71"/>
    </row>
    <row r="53" customFormat="false" ht="12.75" hidden="false" customHeight="false" outlineLevel="0" collapsed="false">
      <c r="A53" s="69"/>
      <c r="C53" s="71"/>
    </row>
    <row r="54" customFormat="false" ht="12.75" hidden="false" customHeight="false" outlineLevel="0" collapsed="false">
      <c r="A54" s="69"/>
      <c r="C54" s="71"/>
    </row>
    <row r="55" customFormat="false" ht="12.75" hidden="false" customHeight="false" outlineLevel="0" collapsed="false">
      <c r="A55" s="69"/>
      <c r="C55" s="71"/>
    </row>
    <row r="56" customFormat="false" ht="12.75" hidden="false" customHeight="false" outlineLevel="0" collapsed="false">
      <c r="A56" s="69"/>
      <c r="C56" s="71"/>
    </row>
    <row r="57" customFormat="false" ht="12.75" hidden="false" customHeight="false" outlineLevel="0" collapsed="false">
      <c r="A57" s="69"/>
      <c r="C57" s="71"/>
    </row>
    <row r="58" customFormat="false" ht="14.25" hidden="false" customHeight="false" outlineLevel="0" collapsed="false">
      <c r="A58" s="59" t="s">
        <v>12</v>
      </c>
      <c r="C58" s="71"/>
    </row>
    <row r="59" customFormat="false" ht="12.75" hidden="false" customHeight="false" outlineLevel="0" collapsed="false">
      <c r="A59" s="69"/>
      <c r="C59" s="71"/>
    </row>
    <row r="60" customFormat="false" ht="12.75" hidden="false" customHeight="false" outlineLevel="0" collapsed="false">
      <c r="A60" s="69"/>
      <c r="C60" s="71"/>
    </row>
    <row r="61" customFormat="false" ht="12.75" hidden="false" customHeight="false" outlineLevel="0" collapsed="false">
      <c r="A61" s="69"/>
      <c r="C61" s="71"/>
    </row>
    <row r="62" customFormat="false" ht="12.75" hidden="false" customHeight="false" outlineLevel="0" collapsed="false">
      <c r="A62" s="69"/>
      <c r="C62" s="71"/>
    </row>
    <row r="63" customFormat="false" ht="12.75" hidden="false" customHeight="false" outlineLevel="0" collapsed="false">
      <c r="A63" s="69"/>
      <c r="C63" s="71"/>
    </row>
    <row r="64" customFormat="false" ht="12.75" hidden="false" customHeight="false" outlineLevel="0" collapsed="false">
      <c r="A64" s="69"/>
      <c r="C64" s="71"/>
    </row>
    <row r="65" customFormat="false" ht="12.75" hidden="false" customHeight="false" outlineLevel="0" collapsed="false">
      <c r="A65" s="69"/>
      <c r="C65" s="71"/>
    </row>
    <row r="66" customFormat="false" ht="12.75" hidden="false" customHeight="false" outlineLevel="0" collapsed="false">
      <c r="A66" s="69"/>
      <c r="C66" s="71"/>
    </row>
    <row r="67" customFormat="false" ht="12.75" hidden="false" customHeight="false" outlineLevel="0" collapsed="false">
      <c r="A67" s="69"/>
      <c r="C67" s="71"/>
    </row>
    <row r="68" customFormat="false" ht="12.75" hidden="false" customHeight="false" outlineLevel="0" collapsed="false">
      <c r="A68" s="69"/>
      <c r="C68" s="71"/>
    </row>
    <row r="69" customFormat="false" ht="12.75" hidden="false" customHeight="false" outlineLevel="0" collapsed="false">
      <c r="A69" s="69"/>
      <c r="C69" s="71"/>
    </row>
    <row r="70" customFormat="false" ht="12.75" hidden="false" customHeight="false" outlineLevel="0" collapsed="false">
      <c r="A70" s="69"/>
      <c r="C70" s="71"/>
    </row>
    <row r="71" customFormat="false" ht="12.75" hidden="false" customHeight="false" outlineLevel="0" collapsed="false">
      <c r="A71" s="69"/>
      <c r="C71" s="71"/>
    </row>
    <row r="72" customFormat="false" ht="12.75" hidden="false" customHeight="false" outlineLevel="0" collapsed="false">
      <c r="A72" s="69"/>
      <c r="C72" s="71"/>
    </row>
    <row r="73" customFormat="false" ht="12.75" hidden="false" customHeight="false" outlineLevel="0" collapsed="false">
      <c r="A73" s="69"/>
      <c r="C73" s="71"/>
    </row>
    <row r="74" customFormat="false" ht="12.75" hidden="false" customHeight="false" outlineLevel="0" collapsed="false">
      <c r="A74" s="69"/>
      <c r="C74" s="71"/>
    </row>
    <row r="75" customFormat="false" ht="12.75" hidden="false" customHeight="false" outlineLevel="0" collapsed="false">
      <c r="A75" s="69"/>
      <c r="C75" s="71"/>
    </row>
    <row r="76" customFormat="false" ht="12.75" hidden="false" customHeight="false" outlineLevel="0" collapsed="false">
      <c r="A76" s="69"/>
      <c r="C76" s="71"/>
    </row>
    <row r="77" customFormat="false" ht="12.75" hidden="false" customHeight="false" outlineLevel="0" collapsed="false">
      <c r="A77" s="69"/>
      <c r="C77" s="71"/>
    </row>
    <row r="78" customFormat="false" ht="12.75" hidden="false" customHeight="false" outlineLevel="0" collapsed="false">
      <c r="A78" s="69"/>
      <c r="C78" s="71"/>
    </row>
    <row r="79" customFormat="false" ht="12.75" hidden="false" customHeight="false" outlineLevel="0" collapsed="false">
      <c r="A79" s="69"/>
      <c r="C79" s="71"/>
    </row>
    <row r="80" customFormat="false" ht="12.75" hidden="false" customHeight="false" outlineLevel="0" collapsed="false">
      <c r="A80" s="69"/>
      <c r="C80" s="71"/>
    </row>
    <row r="81" customFormat="false" ht="12.75" hidden="false" customHeight="false" outlineLevel="0" collapsed="false">
      <c r="A81" s="69"/>
      <c r="C81" s="71"/>
    </row>
    <row r="82" customFormat="false" ht="12.75" hidden="false" customHeight="false" outlineLevel="0" collapsed="false">
      <c r="A82" s="69"/>
      <c r="C82" s="71"/>
    </row>
    <row r="83" customFormat="false" ht="12.75" hidden="false" customHeight="false" outlineLevel="0" collapsed="false">
      <c r="A83" s="69"/>
      <c r="C83" s="71"/>
    </row>
    <row r="84" customFormat="false" ht="12.75" hidden="false" customHeight="false" outlineLevel="0" collapsed="false">
      <c r="A84" s="69"/>
      <c r="C84" s="71"/>
    </row>
    <row r="85" customFormat="false" ht="12.75" hidden="false" customHeight="false" outlineLevel="0" collapsed="false">
      <c r="A85" s="69"/>
      <c r="C85" s="71"/>
    </row>
    <row r="86" customFormat="false" ht="12.75" hidden="false" customHeight="false" outlineLevel="0" collapsed="false">
      <c r="A86" s="69"/>
      <c r="C86" s="71"/>
    </row>
    <row r="87" customFormat="false" ht="12.75" hidden="false" customHeight="false" outlineLevel="0" collapsed="false">
      <c r="A87" s="69"/>
      <c r="C87" s="71"/>
    </row>
    <row r="88" customFormat="false" ht="12.75" hidden="false" customHeight="false" outlineLevel="0" collapsed="false">
      <c r="A88" s="69"/>
      <c r="C88" s="71"/>
    </row>
    <row r="89" customFormat="false" ht="12.75" hidden="false" customHeight="false" outlineLevel="0" collapsed="false">
      <c r="A89" s="69"/>
      <c r="C89" s="71"/>
    </row>
    <row r="90" customFormat="false" ht="12.75" hidden="false" customHeight="false" outlineLevel="0" collapsed="false">
      <c r="A90" s="69"/>
      <c r="C90" s="71"/>
    </row>
    <row r="91" customFormat="false" ht="12.75" hidden="false" customHeight="false" outlineLevel="0" collapsed="false">
      <c r="A91" s="69"/>
      <c r="C91" s="71"/>
    </row>
    <row r="92" customFormat="false" ht="12.75" hidden="false" customHeight="false" outlineLevel="0" collapsed="false">
      <c r="A92" s="69"/>
      <c r="C92" s="71"/>
    </row>
    <row r="93" customFormat="false" ht="12.75" hidden="false" customHeight="false" outlineLevel="0" collapsed="false">
      <c r="A93" s="69"/>
      <c r="C93" s="71"/>
    </row>
    <row r="94" customFormat="false" ht="12.75" hidden="false" customHeight="false" outlineLevel="0" collapsed="false">
      <c r="A94" s="69"/>
      <c r="C94" s="71"/>
    </row>
    <row r="95" customFormat="false" ht="12.75" hidden="false" customHeight="false" outlineLevel="0" collapsed="false">
      <c r="A95" s="69"/>
      <c r="C95" s="71"/>
    </row>
    <row r="96" customFormat="false" ht="12.75" hidden="false" customHeight="false" outlineLevel="0" collapsed="false">
      <c r="A96" s="69"/>
      <c r="C96" s="71"/>
    </row>
    <row r="97" customFormat="false" ht="12.75" hidden="false" customHeight="false" outlineLevel="0" collapsed="false">
      <c r="A97" s="69"/>
      <c r="C97" s="71"/>
    </row>
    <row r="98" customFormat="false" ht="12.75" hidden="false" customHeight="false" outlineLevel="0" collapsed="false">
      <c r="A98" s="69"/>
      <c r="C98" s="71"/>
    </row>
    <row r="99" customFormat="false" ht="12.75" hidden="false" customHeight="false" outlineLevel="0" collapsed="false">
      <c r="A99" s="69"/>
      <c r="C99" s="71"/>
    </row>
    <row r="100" customFormat="false" ht="12.75" hidden="false" customHeight="false" outlineLevel="0" collapsed="false">
      <c r="A100" s="69"/>
      <c r="C100" s="71"/>
    </row>
    <row r="101" customFormat="false" ht="12.75" hidden="false" customHeight="false" outlineLevel="0" collapsed="false">
      <c r="A101" s="69"/>
      <c r="C101" s="71"/>
    </row>
    <row r="102" customFormat="false" ht="12.75" hidden="false" customHeight="false" outlineLevel="0" collapsed="false">
      <c r="A102" s="69"/>
      <c r="C102" s="71"/>
    </row>
    <row r="103" customFormat="false" ht="12.75" hidden="false" customHeight="false" outlineLevel="0" collapsed="false">
      <c r="A103" s="69"/>
      <c r="C103" s="71"/>
    </row>
    <row r="104" customFormat="false" ht="12.75" hidden="false" customHeight="false" outlineLevel="0" collapsed="false">
      <c r="A104" s="69"/>
      <c r="C104" s="71"/>
    </row>
    <row r="105" customFormat="false" ht="12.75" hidden="false" customHeight="false" outlineLevel="0" collapsed="false">
      <c r="A105" s="69"/>
      <c r="C105" s="71"/>
    </row>
    <row r="106" customFormat="false" ht="12.75" hidden="false" customHeight="false" outlineLevel="0" collapsed="false">
      <c r="A106" s="69"/>
      <c r="C106" s="71"/>
    </row>
    <row r="107" customFormat="false" ht="12.75" hidden="false" customHeight="false" outlineLevel="0" collapsed="false">
      <c r="A107" s="69"/>
      <c r="C107" s="71"/>
    </row>
    <row r="108" customFormat="false" ht="12.75" hidden="false" customHeight="false" outlineLevel="0" collapsed="false">
      <c r="A108" s="69"/>
      <c r="C108" s="71"/>
    </row>
    <row r="109" customFormat="false" ht="12.75" hidden="false" customHeight="false" outlineLevel="0" collapsed="false">
      <c r="A109" s="69"/>
      <c r="C109" s="71"/>
    </row>
    <row r="110" customFormat="false" ht="12.75" hidden="false" customHeight="false" outlineLevel="0" collapsed="false">
      <c r="A110" s="69"/>
      <c r="C110" s="71"/>
    </row>
    <row r="111" customFormat="false" ht="12.75" hidden="false" customHeight="false" outlineLevel="0" collapsed="false">
      <c r="A111" s="69"/>
      <c r="C111" s="71"/>
    </row>
    <row r="112" customFormat="false" ht="12.75" hidden="false" customHeight="false" outlineLevel="0" collapsed="false">
      <c r="A112" s="69"/>
      <c r="C112" s="71"/>
    </row>
    <row r="113" customFormat="false" ht="12.75" hidden="false" customHeight="false" outlineLevel="0" collapsed="false">
      <c r="A113" s="69"/>
      <c r="C113" s="71"/>
    </row>
    <row r="114" customFormat="false" ht="12.75" hidden="false" customHeight="false" outlineLevel="0" collapsed="false">
      <c r="A114" s="69"/>
      <c r="C114" s="71"/>
    </row>
    <row r="115" customFormat="false" ht="12.75" hidden="false" customHeight="false" outlineLevel="0" collapsed="false">
      <c r="A115" s="69"/>
      <c r="C115" s="71"/>
    </row>
    <row r="116" customFormat="false" ht="12.75" hidden="false" customHeight="false" outlineLevel="0" collapsed="false">
      <c r="A116" s="69"/>
      <c r="C116" s="71"/>
    </row>
    <row r="117" customFormat="false" ht="12.75" hidden="false" customHeight="false" outlineLevel="0" collapsed="false">
      <c r="A117" s="69"/>
      <c r="C117" s="71"/>
    </row>
    <row r="118" customFormat="false" ht="12.75" hidden="false" customHeight="false" outlineLevel="0" collapsed="false">
      <c r="A118" s="69"/>
      <c r="C118" s="71"/>
    </row>
    <row r="119" customFormat="false" ht="12.75" hidden="false" customHeight="false" outlineLevel="0" collapsed="false">
      <c r="A119" s="69"/>
      <c r="C119" s="71"/>
    </row>
    <row r="120" customFormat="false" ht="12.75" hidden="false" customHeight="false" outlineLevel="0" collapsed="false">
      <c r="A120" s="69"/>
      <c r="C120" s="71"/>
    </row>
    <row r="121" customFormat="false" ht="12.75" hidden="false" customHeight="false" outlineLevel="0" collapsed="false">
      <c r="A121" s="69"/>
      <c r="C121" s="71"/>
    </row>
    <row r="122" customFormat="false" ht="12.75" hidden="false" customHeight="false" outlineLevel="0" collapsed="false">
      <c r="A122" s="69"/>
      <c r="C122" s="71"/>
    </row>
    <row r="123" customFormat="false" ht="12.75" hidden="false" customHeight="false" outlineLevel="0" collapsed="false">
      <c r="A123" s="69"/>
      <c r="C123" s="71"/>
    </row>
    <row r="124" customFormat="false" ht="12.75" hidden="false" customHeight="false" outlineLevel="0" collapsed="false">
      <c r="A124" s="69"/>
      <c r="C124" s="71"/>
    </row>
    <row r="125" customFormat="false" ht="12.75" hidden="false" customHeight="false" outlineLevel="0" collapsed="false">
      <c r="A125" s="69"/>
      <c r="C125" s="71"/>
    </row>
    <row r="126" customFormat="false" ht="12.75" hidden="false" customHeight="false" outlineLevel="0" collapsed="false">
      <c r="A126" s="69"/>
      <c r="C126" s="71"/>
    </row>
    <row r="127" customFormat="false" ht="12.75" hidden="false" customHeight="false" outlineLevel="0" collapsed="false">
      <c r="A127" s="69"/>
      <c r="C127" s="71"/>
    </row>
    <row r="128" customFormat="false" ht="12.75" hidden="false" customHeight="false" outlineLevel="0" collapsed="false">
      <c r="A128" s="69"/>
      <c r="C128" s="71"/>
    </row>
    <row r="129" customFormat="false" ht="12.75" hidden="false" customHeight="false" outlineLevel="0" collapsed="false">
      <c r="A129" s="69"/>
      <c r="C129" s="71"/>
    </row>
    <row r="130" customFormat="false" ht="12.75" hidden="false" customHeight="false" outlineLevel="0" collapsed="false">
      <c r="A130" s="69"/>
      <c r="C130" s="71"/>
    </row>
    <row r="131" customFormat="false" ht="12.75" hidden="false" customHeight="false" outlineLevel="0" collapsed="false">
      <c r="A131" s="69"/>
      <c r="C131" s="71"/>
    </row>
    <row r="132" customFormat="false" ht="12.75" hidden="false" customHeight="false" outlineLevel="0" collapsed="false">
      <c r="A132" s="69"/>
      <c r="C132" s="71"/>
    </row>
    <row r="133" customFormat="false" ht="12.75" hidden="false" customHeight="false" outlineLevel="0" collapsed="false">
      <c r="A133" s="69"/>
      <c r="C133" s="71"/>
    </row>
    <row r="134" customFormat="false" ht="12.75" hidden="false" customHeight="false" outlineLevel="0" collapsed="false">
      <c r="A134" s="69"/>
      <c r="C134" s="71"/>
    </row>
    <row r="135" customFormat="false" ht="12.75" hidden="false" customHeight="false" outlineLevel="0" collapsed="false">
      <c r="A135" s="69"/>
      <c r="C135" s="71"/>
    </row>
    <row r="136" customFormat="false" ht="12.75" hidden="false" customHeight="false" outlineLevel="0" collapsed="false">
      <c r="A136" s="69"/>
    </row>
    <row r="137" customFormat="false" ht="12.75" hidden="false" customHeight="false" outlineLevel="0" collapsed="false">
      <c r="A137" s="69"/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F193"/>
  <sheetViews>
    <sheetView showFormulas="false" showGridLines="true" showRowColHeaders="true" showZeros="true" rightToLeft="false" tabSelected="false" showOutlineSymbols="true" defaultGridColor="true" view="normal" topLeftCell="A30" colorId="64" zoomScale="100" zoomScaleNormal="100" zoomScalePageLayoutView="100" workbookViewId="0">
      <selection pane="topLeft" activeCell="A30" activeCellId="0" sqref="A30"/>
    </sheetView>
  </sheetViews>
  <sheetFormatPr defaultColWidth="10.6875" defaultRowHeight="12.75" zeroHeight="false" outlineLevelRow="0" outlineLevelCol="0"/>
  <cols>
    <col collapsed="false" customWidth="true" hidden="false" outlineLevel="0" max="1" min="1" style="0" width="20.71"/>
    <col collapsed="false" customWidth="true" hidden="false" outlineLevel="0" max="2" min="2" style="0" width="16.14"/>
    <col collapsed="false" customWidth="true" hidden="false" outlineLevel="0" max="3" min="3" style="71" width="12.86"/>
    <col collapsed="false" customWidth="true" hidden="false" outlineLevel="0" max="4" min="4" style="0" width="14.86"/>
    <col collapsed="false" customWidth="true" hidden="false" outlineLevel="0" max="5" min="5" style="0" width="15.86"/>
  </cols>
  <sheetData>
    <row r="1" customFormat="false" ht="15" hidden="false" customHeight="false" outlineLevel="0" collapsed="false">
      <c r="A1" s="54" t="s">
        <v>0</v>
      </c>
      <c r="B1" s="25"/>
      <c r="C1" s="33"/>
      <c r="D1" s="60" t="s">
        <v>15</v>
      </c>
    </row>
    <row r="2" customFormat="false" ht="14.25" hidden="false" customHeight="false" outlineLevel="0" collapsed="false">
      <c r="A2" s="61"/>
      <c r="B2" s="25"/>
      <c r="C2" s="33"/>
      <c r="D2" s="25"/>
    </row>
    <row r="3" customFormat="false" ht="15" hidden="false" customHeight="false" outlineLevel="0" collapsed="false">
      <c r="A3" s="54" t="s">
        <v>1</v>
      </c>
      <c r="B3" s="25"/>
      <c r="C3" s="33"/>
      <c r="D3" s="25"/>
    </row>
    <row r="4" customFormat="false" ht="14.25" hidden="false" customHeight="false" outlineLevel="0" collapsed="false">
      <c r="A4" s="61"/>
      <c r="B4" s="25"/>
      <c r="C4" s="33"/>
      <c r="D4" s="25"/>
    </row>
    <row r="5" customFormat="false" ht="15" hidden="false" customHeight="false" outlineLevel="0" collapsed="false">
      <c r="A5" s="54" t="s">
        <v>2</v>
      </c>
      <c r="B5" s="28" t="s">
        <v>11</v>
      </c>
      <c r="C5" s="29" t="s">
        <v>5</v>
      </c>
      <c r="D5" s="68" t="s">
        <v>16</v>
      </c>
    </row>
    <row r="6" s="78" customFormat="true" ht="12.75" hidden="false" customHeight="false" outlineLevel="0" collapsed="false">
      <c r="A6" s="74" t="n">
        <v>41642</v>
      </c>
      <c r="B6" s="75" t="n">
        <v>1859477</v>
      </c>
      <c r="C6" s="76" t="n">
        <v>20.25</v>
      </c>
      <c r="D6" s="77" t="n">
        <f aca="false">+B6*C6</f>
        <v>37654409.25</v>
      </c>
    </row>
    <row r="7" customFormat="false" ht="12.75" hidden="false" customHeight="false" outlineLevel="0" collapsed="false">
      <c r="A7" s="79" t="n">
        <v>41647</v>
      </c>
      <c r="B7" s="70" t="n">
        <v>96066</v>
      </c>
      <c r="C7" s="71" t="n">
        <v>20.25</v>
      </c>
      <c r="D7" s="77" t="n">
        <f aca="false">+B7*C7</f>
        <v>1945336.5</v>
      </c>
    </row>
    <row r="8" customFormat="false" ht="12.75" hidden="false" customHeight="false" outlineLevel="0" collapsed="false">
      <c r="A8" s="79" t="n">
        <v>41661</v>
      </c>
      <c r="B8" s="70" t="n">
        <v>176674</v>
      </c>
      <c r="C8" s="71" t="n">
        <v>20.25</v>
      </c>
      <c r="D8" s="77" t="n">
        <f aca="false">+B8*C8</f>
        <v>3577648.5</v>
      </c>
    </row>
    <row r="9" customFormat="false" ht="12.75" hidden="false" customHeight="false" outlineLevel="0" collapsed="false">
      <c r="A9" s="79" t="n">
        <v>41667</v>
      </c>
      <c r="B9" s="70" t="n">
        <v>407000</v>
      </c>
      <c r="C9" s="71" t="n">
        <v>20.26</v>
      </c>
      <c r="D9" s="77" t="n">
        <f aca="false">+B9*C9</f>
        <v>8245820</v>
      </c>
    </row>
    <row r="10" customFormat="false" ht="12.75" hidden="false" customHeight="false" outlineLevel="0" collapsed="false">
      <c r="A10" s="79" t="n">
        <v>41668</v>
      </c>
      <c r="B10" s="70" t="n">
        <v>97728</v>
      </c>
      <c r="C10" s="71" t="n">
        <v>20.3</v>
      </c>
      <c r="D10" s="77" t="n">
        <f aca="false">+B10*C10</f>
        <v>1983878.4</v>
      </c>
    </row>
    <row r="11" customFormat="false" ht="12.75" hidden="false" customHeight="false" outlineLevel="0" collapsed="false">
      <c r="A11" s="79" t="n">
        <v>41682</v>
      </c>
      <c r="B11" s="70" t="n">
        <v>1452715</v>
      </c>
      <c r="C11" s="71" t="n">
        <v>20.26</v>
      </c>
      <c r="D11" s="77" t="n">
        <f aca="false">+B11*C11</f>
        <v>29432005.9</v>
      </c>
    </row>
    <row r="12" customFormat="false" ht="12.75" hidden="false" customHeight="false" outlineLevel="0" collapsed="false">
      <c r="A12" s="79" t="n">
        <v>41703</v>
      </c>
      <c r="B12" s="70" t="n">
        <v>329247</v>
      </c>
      <c r="C12" s="71" t="n">
        <v>20.35</v>
      </c>
      <c r="D12" s="77" t="n">
        <f aca="false">+B12*C12</f>
        <v>6700176.45</v>
      </c>
    </row>
    <row r="13" customFormat="false" ht="12.75" hidden="false" customHeight="false" outlineLevel="0" collapsed="false">
      <c r="A13" s="79" t="n">
        <v>41709</v>
      </c>
      <c r="B13" s="70" t="n">
        <v>26990</v>
      </c>
      <c r="C13" s="71" t="n">
        <v>20.31</v>
      </c>
      <c r="D13" s="77" t="n">
        <f aca="false">+B13*C13</f>
        <v>548166.9</v>
      </c>
    </row>
    <row r="14" customFormat="false" ht="12.75" hidden="false" customHeight="false" outlineLevel="0" collapsed="false">
      <c r="A14" s="79" t="n">
        <v>41710</v>
      </c>
      <c r="B14" s="70" t="n">
        <v>131786</v>
      </c>
      <c r="C14" s="71" t="n">
        <v>21.07</v>
      </c>
      <c r="D14" s="77" t="n">
        <f aca="false">+B14*C14</f>
        <v>2776731.02</v>
      </c>
    </row>
    <row r="15" customFormat="false" ht="12.75" hidden="false" customHeight="false" outlineLevel="0" collapsed="false">
      <c r="A15" s="79" t="n">
        <v>41711</v>
      </c>
      <c r="B15" s="70" t="n">
        <v>51447</v>
      </c>
      <c r="C15" s="71" t="n">
        <v>21.2</v>
      </c>
      <c r="D15" s="77" t="n">
        <f aca="false">+B15*C15</f>
        <v>1090676.4</v>
      </c>
    </row>
    <row r="16" customFormat="false" ht="12.75" hidden="false" customHeight="false" outlineLevel="0" collapsed="false">
      <c r="A16" s="79" t="n">
        <v>41716</v>
      </c>
      <c r="B16" s="70" t="n">
        <v>232500</v>
      </c>
      <c r="C16" s="71" t="n">
        <v>22</v>
      </c>
      <c r="D16" s="77" t="n">
        <f aca="false">+B16*C16</f>
        <v>5115000</v>
      </c>
    </row>
    <row r="17" customFormat="false" ht="12.75" hidden="false" customHeight="false" outlineLevel="0" collapsed="false">
      <c r="A17" s="79" t="n">
        <v>41717</v>
      </c>
      <c r="B17" s="70" t="n">
        <v>10000</v>
      </c>
      <c r="C17" s="71" t="n">
        <v>21.3</v>
      </c>
      <c r="D17" s="77" t="n">
        <f aca="false">+B17*C17</f>
        <v>213000</v>
      </c>
    </row>
    <row r="18" customFormat="false" ht="12.75" hidden="false" customHeight="false" outlineLevel="0" collapsed="false">
      <c r="A18" s="79" t="n">
        <v>41750</v>
      </c>
      <c r="B18" s="70" t="n">
        <v>227000</v>
      </c>
      <c r="C18" s="71" t="n">
        <v>22</v>
      </c>
      <c r="D18" s="77" t="n">
        <f aca="false">+B18*C18</f>
        <v>4994000</v>
      </c>
    </row>
    <row r="19" customFormat="false" ht="12.75" hidden="false" customHeight="false" outlineLevel="0" collapsed="false">
      <c r="A19" s="79" t="n">
        <v>41753</v>
      </c>
      <c r="B19" s="70" t="n">
        <v>123000</v>
      </c>
      <c r="C19" s="71" t="n">
        <v>22</v>
      </c>
      <c r="D19" s="77" t="n">
        <f aca="false">+B19*C19</f>
        <v>2706000</v>
      </c>
    </row>
    <row r="20" customFormat="false" ht="12.75" hidden="false" customHeight="false" outlineLevel="0" collapsed="false">
      <c r="A20" s="79" t="n">
        <v>41765</v>
      </c>
      <c r="B20" s="70" t="n">
        <v>344198</v>
      </c>
      <c r="C20" s="71" t="n">
        <v>22</v>
      </c>
      <c r="D20" s="77" t="n">
        <f aca="false">+B20*C20</f>
        <v>7572356</v>
      </c>
    </row>
    <row r="21" customFormat="false" ht="12.75" hidden="false" customHeight="false" outlineLevel="0" collapsed="false">
      <c r="A21" s="79" t="n">
        <v>41774</v>
      </c>
      <c r="B21" s="70" t="n">
        <v>1091381</v>
      </c>
      <c r="C21" s="71" t="n">
        <v>22.01</v>
      </c>
      <c r="D21" s="77" t="n">
        <f aca="false">+B21*C21</f>
        <v>24021295.81</v>
      </c>
    </row>
    <row r="22" customFormat="false" ht="12.75" hidden="false" customHeight="false" outlineLevel="0" collapsed="false">
      <c r="A22" s="79" t="n">
        <v>41787</v>
      </c>
      <c r="B22" s="70" t="n">
        <v>4340461</v>
      </c>
      <c r="C22" s="71" t="n">
        <v>22</v>
      </c>
      <c r="D22" s="77" t="n">
        <f aca="false">+B22*C22</f>
        <v>95490142</v>
      </c>
    </row>
    <row r="23" customFormat="false" ht="12.75" hidden="false" customHeight="false" outlineLevel="0" collapsed="false">
      <c r="A23" s="79" t="n">
        <v>41806</v>
      </c>
      <c r="B23" s="70" t="n">
        <v>1000000</v>
      </c>
      <c r="C23" s="71" t="n">
        <v>22</v>
      </c>
      <c r="D23" s="77" t="n">
        <f aca="false">+B23*C23</f>
        <v>22000000</v>
      </c>
    </row>
    <row r="24" customFormat="false" ht="12.75" hidden="false" customHeight="false" outlineLevel="0" collapsed="false">
      <c r="A24" s="79"/>
      <c r="B24" s="70"/>
      <c r="D24" s="80" t="n">
        <f aca="false">SUM(D6:D23)</f>
        <v>256066643.13</v>
      </c>
    </row>
    <row r="25" customFormat="false" ht="12.75" hidden="false" customHeight="false" outlineLevel="0" collapsed="false">
      <c r="A25" s="79" t="n">
        <v>41834</v>
      </c>
      <c r="B25" s="70" t="n">
        <v>141721</v>
      </c>
      <c r="C25" s="71" t="n">
        <v>22.13</v>
      </c>
      <c r="D25" s="77" t="n">
        <f aca="false">+B25*C25</f>
        <v>3136285.73</v>
      </c>
    </row>
    <row r="26" customFormat="false" ht="12.75" hidden="false" customHeight="false" outlineLevel="0" collapsed="false">
      <c r="A26" s="79" t="n">
        <v>41852</v>
      </c>
      <c r="B26" s="70" t="n">
        <v>8680619</v>
      </c>
      <c r="C26" s="71" t="n">
        <v>22</v>
      </c>
      <c r="D26" s="77" t="n">
        <f aca="false">+B26*C26</f>
        <v>190973618</v>
      </c>
    </row>
    <row r="27" customFormat="false" ht="12.75" hidden="false" customHeight="false" outlineLevel="0" collapsed="false">
      <c r="A27" s="79" t="n">
        <v>41862</v>
      </c>
      <c r="B27" s="70" t="n">
        <v>155650</v>
      </c>
      <c r="C27" s="71" t="n">
        <v>22</v>
      </c>
      <c r="D27" s="77" t="n">
        <f aca="false">+B27*C27</f>
        <v>3424300</v>
      </c>
    </row>
    <row r="28" customFormat="false" ht="12.75" hidden="false" customHeight="false" outlineLevel="0" collapsed="false">
      <c r="A28" s="79" t="n">
        <v>41884</v>
      </c>
      <c r="B28" s="70" t="n">
        <v>546870</v>
      </c>
      <c r="C28" s="71" t="n">
        <v>22</v>
      </c>
      <c r="D28" s="77" t="n">
        <f aca="false">+B28*C28</f>
        <v>12031140</v>
      </c>
    </row>
    <row r="29" customFormat="false" ht="12.75" hidden="false" customHeight="false" outlineLevel="0" collapsed="false">
      <c r="A29" s="79" t="n">
        <v>41885</v>
      </c>
      <c r="B29" s="70" t="n">
        <v>29200</v>
      </c>
      <c r="C29" s="71" t="n">
        <v>22</v>
      </c>
      <c r="D29" s="77" t="n">
        <f aca="false">+B29*C29</f>
        <v>642400</v>
      </c>
    </row>
    <row r="30" customFormat="false" ht="12.75" hidden="false" customHeight="false" outlineLevel="0" collapsed="false">
      <c r="A30" s="79" t="n">
        <v>41886</v>
      </c>
      <c r="B30" s="70" t="n">
        <v>241785744</v>
      </c>
      <c r="C30" s="71" t="n">
        <v>22</v>
      </c>
      <c r="D30" s="77" t="n">
        <f aca="false">+B30*C30</f>
        <v>5319286368</v>
      </c>
    </row>
    <row r="31" customFormat="false" ht="12.75" hidden="false" customHeight="false" outlineLevel="0" collapsed="false">
      <c r="A31" s="79" t="n">
        <v>41887</v>
      </c>
      <c r="B31" s="70" t="n">
        <v>70176</v>
      </c>
      <c r="C31" s="71" t="n">
        <v>22.28</v>
      </c>
      <c r="D31" s="77" t="n">
        <f aca="false">+B31*C31</f>
        <v>1563521.28</v>
      </c>
    </row>
    <row r="32" customFormat="false" ht="12.75" hidden="false" customHeight="false" outlineLevel="0" collapsed="false">
      <c r="A32" s="79" t="n">
        <v>41901</v>
      </c>
      <c r="B32" s="70" t="n">
        <v>3000000</v>
      </c>
      <c r="C32" s="71" t="n">
        <v>22</v>
      </c>
      <c r="D32" s="77" t="n">
        <f aca="false">+B32*C32</f>
        <v>66000000</v>
      </c>
    </row>
    <row r="33" customFormat="false" ht="12.75" hidden="false" customHeight="false" outlineLevel="0" collapsed="false">
      <c r="A33" s="79" t="n">
        <v>41906</v>
      </c>
      <c r="B33" s="70" t="n">
        <v>10000000</v>
      </c>
      <c r="C33" s="71" t="n">
        <v>21.5</v>
      </c>
      <c r="D33" s="77" t="n">
        <f aca="false">+B33*C33</f>
        <v>215000000</v>
      </c>
    </row>
    <row r="34" customFormat="false" ht="12.75" hidden="false" customHeight="false" outlineLevel="0" collapsed="false">
      <c r="A34" s="79" t="n">
        <v>41913</v>
      </c>
      <c r="B34" s="70" t="n">
        <v>292122</v>
      </c>
      <c r="C34" s="71" t="n">
        <v>21.5</v>
      </c>
      <c r="D34" s="77" t="n">
        <f aca="false">+B34*C34</f>
        <v>6280623</v>
      </c>
    </row>
    <row r="35" customFormat="false" ht="12.75" hidden="false" customHeight="false" outlineLevel="0" collapsed="false">
      <c r="A35" s="79" t="n">
        <v>41922</v>
      </c>
      <c r="B35" s="70" t="n">
        <v>7259742</v>
      </c>
      <c r="C35" s="71" t="n">
        <v>21.83</v>
      </c>
      <c r="D35" s="77" t="n">
        <f aca="false">+B35*C35</f>
        <v>158480167.86</v>
      </c>
      <c r="E35" s="0" t="s">
        <v>17</v>
      </c>
      <c r="F35" s="0" t="s">
        <v>18</v>
      </c>
    </row>
    <row r="36" customFormat="false" ht="12.75" hidden="false" customHeight="false" outlineLevel="0" collapsed="false">
      <c r="A36" s="79" t="n">
        <v>41925</v>
      </c>
      <c r="B36" s="70" t="n">
        <v>17400000</v>
      </c>
      <c r="C36" s="71" t="n">
        <v>21.5</v>
      </c>
      <c r="D36" s="77" t="n">
        <f aca="false">+B36*C36</f>
        <v>374100000</v>
      </c>
    </row>
    <row r="37" customFormat="false" ht="12.75" hidden="false" customHeight="false" outlineLevel="0" collapsed="false">
      <c r="A37" s="79" t="n">
        <v>41926</v>
      </c>
      <c r="B37" s="70" t="n">
        <v>4491000</v>
      </c>
      <c r="C37" s="71" t="n">
        <v>21.65</v>
      </c>
      <c r="D37" s="77" t="n">
        <f aca="false">+B37*C37</f>
        <v>97230150</v>
      </c>
      <c r="E37" s="0" t="s">
        <v>17</v>
      </c>
      <c r="F37" s="0" t="s">
        <v>19</v>
      </c>
    </row>
    <row r="38" customFormat="false" ht="12.75" hidden="false" customHeight="false" outlineLevel="0" collapsed="false">
      <c r="A38" s="79" t="n">
        <v>41927</v>
      </c>
      <c r="B38" s="70" t="n">
        <v>2110845</v>
      </c>
      <c r="C38" s="71" t="n">
        <v>21.5</v>
      </c>
      <c r="D38" s="77" t="n">
        <f aca="false">+B38*C38</f>
        <v>45383167.5</v>
      </c>
    </row>
    <row r="39" customFormat="false" ht="12.75" hidden="false" customHeight="false" outlineLevel="0" collapsed="false">
      <c r="A39" s="79" t="n">
        <v>41928</v>
      </c>
      <c r="B39" s="70" t="n">
        <v>2500000</v>
      </c>
      <c r="C39" s="71" t="n">
        <v>21.5</v>
      </c>
      <c r="D39" s="77" t="n">
        <f aca="false">+B39*C39</f>
        <v>53750000</v>
      </c>
    </row>
    <row r="40" customFormat="false" ht="12.75" hidden="false" customHeight="false" outlineLevel="0" collapsed="false">
      <c r="A40" s="79" t="n">
        <v>41929</v>
      </c>
      <c r="B40" s="70" t="n">
        <v>2001950</v>
      </c>
      <c r="C40" s="71" t="n">
        <v>21.25</v>
      </c>
      <c r="D40" s="77" t="n">
        <f aca="false">+B40*C40</f>
        <v>42541437.5</v>
      </c>
      <c r="E40" s="0" t="s">
        <v>17</v>
      </c>
      <c r="F40" s="0" t="s">
        <v>20</v>
      </c>
    </row>
    <row r="41" customFormat="false" ht="12.75" hidden="false" customHeight="false" outlineLevel="0" collapsed="false">
      <c r="A41" s="79" t="n">
        <v>41932</v>
      </c>
      <c r="B41" s="70" t="n">
        <v>2500000</v>
      </c>
      <c r="C41" s="71" t="n">
        <v>21.5</v>
      </c>
      <c r="D41" s="77" t="n">
        <f aca="false">+B41*C41</f>
        <v>53750000</v>
      </c>
    </row>
    <row r="42" customFormat="false" ht="12.75" hidden="false" customHeight="false" outlineLevel="0" collapsed="false">
      <c r="A42" s="79" t="n">
        <v>41939</v>
      </c>
      <c r="B42" s="70" t="n">
        <v>59381</v>
      </c>
      <c r="C42" s="71" t="n">
        <v>21.5</v>
      </c>
      <c r="D42" s="77" t="n">
        <f aca="false">+B42*C42</f>
        <v>1276691.5</v>
      </c>
    </row>
    <row r="43" customFormat="false" ht="12.75" hidden="false" customHeight="false" outlineLevel="0" collapsed="false">
      <c r="A43" s="79" t="n">
        <v>41940</v>
      </c>
      <c r="B43" s="70" t="n">
        <v>75000</v>
      </c>
      <c r="C43" s="71" t="n">
        <v>21.5</v>
      </c>
      <c r="D43" s="77" t="n">
        <f aca="false">+B43*C43</f>
        <v>1612500</v>
      </c>
    </row>
    <row r="44" customFormat="false" ht="12.75" hidden="false" customHeight="false" outlineLevel="0" collapsed="false">
      <c r="A44" s="79" t="n">
        <v>41961</v>
      </c>
      <c r="B44" s="70" t="n">
        <v>364268</v>
      </c>
      <c r="C44" s="71" t="n">
        <v>21.75</v>
      </c>
      <c r="D44" s="77" t="n">
        <f aca="false">+B44*C44</f>
        <v>7922829</v>
      </c>
    </row>
    <row r="45" customFormat="false" ht="12.75" hidden="false" customHeight="false" outlineLevel="0" collapsed="false">
      <c r="A45" s="79" t="n">
        <v>41969</v>
      </c>
      <c r="B45" s="70" t="n">
        <v>369604</v>
      </c>
      <c r="C45" s="71" t="n">
        <v>21.38</v>
      </c>
      <c r="D45" s="77" t="n">
        <f aca="false">+B45*C45</f>
        <v>7902133.52</v>
      </c>
      <c r="E45" s="0" t="s">
        <v>17</v>
      </c>
      <c r="F45" s="0" t="s">
        <v>21</v>
      </c>
    </row>
    <row r="46" customFormat="false" ht="12.75" hidden="false" customHeight="false" outlineLevel="0" collapsed="false">
      <c r="A46" s="79" t="n">
        <v>41970</v>
      </c>
      <c r="B46" s="70" t="n">
        <v>8000000</v>
      </c>
      <c r="C46" s="71" t="n">
        <v>21.5</v>
      </c>
      <c r="D46" s="77" t="n">
        <f aca="false">+B46*C46</f>
        <v>172000000</v>
      </c>
    </row>
    <row r="47" customFormat="false" ht="12.75" hidden="false" customHeight="false" outlineLevel="0" collapsed="false">
      <c r="A47" s="79" t="n">
        <v>41971</v>
      </c>
      <c r="B47" s="70" t="n">
        <v>265000</v>
      </c>
      <c r="C47" s="71" t="n">
        <v>21.5</v>
      </c>
      <c r="D47" s="77" t="n">
        <f aca="false">+B47*C47</f>
        <v>5697500</v>
      </c>
    </row>
    <row r="48" customFormat="false" ht="12.75" hidden="false" customHeight="false" outlineLevel="0" collapsed="false">
      <c r="A48" s="79" t="n">
        <v>41982</v>
      </c>
      <c r="B48" s="70" t="n">
        <v>52000</v>
      </c>
      <c r="C48" s="71" t="n">
        <v>21.45</v>
      </c>
      <c r="D48" s="77" t="n">
        <f aca="false">+B48*C48</f>
        <v>1115400</v>
      </c>
    </row>
    <row r="49" customFormat="false" ht="12.75" hidden="false" customHeight="false" outlineLevel="0" collapsed="false">
      <c r="A49" s="79"/>
      <c r="B49" s="70" t="n">
        <f aca="false">SUM(B7:B48)</f>
        <v>322289085</v>
      </c>
      <c r="D49" s="73" t="n">
        <f aca="false">SUM(D25:D48)</f>
        <v>6841100232.89</v>
      </c>
    </row>
    <row r="50" customFormat="false" ht="12.75" hidden="false" customHeight="false" outlineLevel="0" collapsed="false">
      <c r="A50" s="79"/>
      <c r="B50" s="70"/>
      <c r="D50" s="70" t="n">
        <f aca="false">+D49+D24</f>
        <v>7097166876.02</v>
      </c>
    </row>
    <row r="51" customFormat="false" ht="12.75" hidden="false" customHeight="false" outlineLevel="0" collapsed="false">
      <c r="A51" s="79"/>
      <c r="B51" s="71"/>
    </row>
    <row r="52" customFormat="false" ht="12.75" hidden="false" customHeight="false" outlineLevel="0" collapsed="false">
      <c r="A52" s="79"/>
      <c r="B52" s="70"/>
    </row>
    <row r="53" customFormat="false" ht="12.75" hidden="false" customHeight="false" outlineLevel="0" collapsed="false">
      <c r="A53" s="79"/>
      <c r="B53" s="70"/>
    </row>
    <row r="54" customFormat="false" ht="12.75" hidden="false" customHeight="false" outlineLevel="0" collapsed="false">
      <c r="A54" s="79"/>
      <c r="B54" s="70"/>
    </row>
    <row r="55" customFormat="false" ht="12.75" hidden="false" customHeight="false" outlineLevel="0" collapsed="false">
      <c r="A55" s="79"/>
      <c r="B55" s="70"/>
    </row>
    <row r="56" customFormat="false" ht="12.75" hidden="false" customHeight="false" outlineLevel="0" collapsed="false">
      <c r="A56" s="79"/>
      <c r="B56" s="70"/>
    </row>
    <row r="57" customFormat="false" ht="12.75" hidden="false" customHeight="false" outlineLevel="0" collapsed="false">
      <c r="A57" s="79"/>
      <c r="B57" s="70"/>
    </row>
    <row r="58" customFormat="false" ht="12.75" hidden="false" customHeight="false" outlineLevel="0" collapsed="false">
      <c r="A58" s="79"/>
      <c r="B58" s="70"/>
    </row>
    <row r="59" customFormat="false" ht="12.75" hidden="false" customHeight="false" outlineLevel="0" collapsed="false">
      <c r="A59" s="79"/>
      <c r="B59" s="70"/>
    </row>
    <row r="60" customFormat="false" ht="12.75" hidden="false" customHeight="false" outlineLevel="0" collapsed="false">
      <c r="A60" s="79"/>
      <c r="B60" s="70"/>
    </row>
    <row r="61" customFormat="false" ht="12.75" hidden="false" customHeight="false" outlineLevel="0" collapsed="false">
      <c r="A61" s="79"/>
      <c r="B61" s="70"/>
    </row>
    <row r="62" customFormat="false" ht="12.75" hidden="false" customHeight="false" outlineLevel="0" collapsed="false">
      <c r="A62" s="79"/>
      <c r="B62" s="70"/>
    </row>
    <row r="63" customFormat="false" ht="12.75" hidden="false" customHeight="false" outlineLevel="0" collapsed="false">
      <c r="A63" s="79"/>
      <c r="B63" s="70"/>
    </row>
    <row r="64" customFormat="false" ht="12.75" hidden="false" customHeight="false" outlineLevel="0" collapsed="false">
      <c r="A64" s="79"/>
      <c r="B64" s="70"/>
    </row>
    <row r="65" customFormat="false" ht="12.75" hidden="false" customHeight="false" outlineLevel="0" collapsed="false">
      <c r="A65" s="79"/>
      <c r="B65" s="70"/>
    </row>
    <row r="66" customFormat="false" ht="12.75" hidden="false" customHeight="false" outlineLevel="0" collapsed="false">
      <c r="A66" s="79"/>
      <c r="B66" s="70"/>
    </row>
    <row r="67" customFormat="false" ht="12.75" hidden="false" customHeight="false" outlineLevel="0" collapsed="false">
      <c r="A67" s="79"/>
      <c r="B67" s="70"/>
    </row>
    <row r="68" customFormat="false" ht="12.75" hidden="false" customHeight="false" outlineLevel="0" collapsed="false">
      <c r="A68" s="79"/>
      <c r="B68" s="70"/>
    </row>
    <row r="69" customFormat="false" ht="12.75" hidden="false" customHeight="false" outlineLevel="0" collapsed="false">
      <c r="A69" s="79"/>
      <c r="B69" s="70"/>
    </row>
    <row r="70" customFormat="false" ht="12.75" hidden="false" customHeight="false" outlineLevel="0" collapsed="false">
      <c r="A70" s="79"/>
      <c r="B70" s="70"/>
    </row>
    <row r="71" customFormat="false" ht="12.75" hidden="false" customHeight="false" outlineLevel="0" collapsed="false">
      <c r="A71" s="79"/>
      <c r="B71" s="70"/>
    </row>
    <row r="72" customFormat="false" ht="12.75" hidden="false" customHeight="false" outlineLevel="0" collapsed="false">
      <c r="A72" s="79"/>
      <c r="B72" s="70"/>
    </row>
    <row r="73" customFormat="false" ht="12.75" hidden="false" customHeight="false" outlineLevel="0" collapsed="false">
      <c r="A73" s="79"/>
      <c r="B73" s="70"/>
    </row>
    <row r="74" customFormat="false" ht="12.75" hidden="false" customHeight="false" outlineLevel="0" collapsed="false">
      <c r="A74" s="79"/>
      <c r="B74" s="70"/>
    </row>
    <row r="75" customFormat="false" ht="12.75" hidden="false" customHeight="false" outlineLevel="0" collapsed="false">
      <c r="A75" s="79"/>
      <c r="B75" s="70"/>
    </row>
    <row r="76" customFormat="false" ht="12.75" hidden="false" customHeight="false" outlineLevel="0" collapsed="false">
      <c r="A76" s="79"/>
      <c r="B76" s="70"/>
    </row>
    <row r="77" customFormat="false" ht="12.75" hidden="false" customHeight="false" outlineLevel="0" collapsed="false">
      <c r="A77" s="79"/>
      <c r="B77" s="70"/>
    </row>
    <row r="78" customFormat="false" ht="12.75" hidden="false" customHeight="false" outlineLevel="0" collapsed="false">
      <c r="A78" s="81"/>
      <c r="B78" s="70"/>
    </row>
    <row r="79" customFormat="false" ht="12.75" hidden="false" customHeight="false" outlineLevel="0" collapsed="false">
      <c r="A79" s="81"/>
      <c r="B79" s="70"/>
    </row>
    <row r="80" customFormat="false" ht="12.75" hidden="false" customHeight="false" outlineLevel="0" collapsed="false">
      <c r="A80" s="81"/>
      <c r="B80" s="70"/>
    </row>
    <row r="81" customFormat="false" ht="12.75" hidden="false" customHeight="false" outlineLevel="0" collapsed="false">
      <c r="A81" s="81"/>
      <c r="B81" s="70"/>
    </row>
    <row r="82" customFormat="false" ht="12.75" hidden="false" customHeight="false" outlineLevel="0" collapsed="false">
      <c r="A82" s="81"/>
      <c r="B82" s="70"/>
    </row>
    <row r="83" customFormat="false" ht="12.75" hidden="false" customHeight="false" outlineLevel="0" collapsed="false">
      <c r="A83" s="81"/>
      <c r="B83" s="70"/>
    </row>
    <row r="84" customFormat="false" ht="12.75" hidden="false" customHeight="false" outlineLevel="0" collapsed="false">
      <c r="A84" s="81"/>
      <c r="B84" s="70"/>
    </row>
    <row r="85" customFormat="false" ht="12.75" hidden="false" customHeight="false" outlineLevel="0" collapsed="false">
      <c r="A85" s="81"/>
      <c r="B85" s="70"/>
    </row>
    <row r="86" customFormat="false" ht="12.75" hidden="false" customHeight="false" outlineLevel="0" collapsed="false">
      <c r="A86" s="81"/>
      <c r="B86" s="70"/>
    </row>
    <row r="87" customFormat="false" ht="12.75" hidden="false" customHeight="false" outlineLevel="0" collapsed="false">
      <c r="A87" s="81"/>
      <c r="B87" s="70"/>
    </row>
    <row r="88" customFormat="false" ht="12.75" hidden="false" customHeight="false" outlineLevel="0" collapsed="false">
      <c r="A88" s="81"/>
      <c r="B88" s="70"/>
    </row>
    <row r="89" customFormat="false" ht="12.75" hidden="false" customHeight="false" outlineLevel="0" collapsed="false">
      <c r="A89" s="81"/>
      <c r="B89" s="70"/>
    </row>
    <row r="90" customFormat="false" ht="12.75" hidden="false" customHeight="false" outlineLevel="0" collapsed="false">
      <c r="A90" s="81"/>
      <c r="B90" s="70"/>
    </row>
    <row r="91" customFormat="false" ht="12.75" hidden="false" customHeight="false" outlineLevel="0" collapsed="false">
      <c r="A91" s="81"/>
      <c r="B91" s="70"/>
    </row>
    <row r="92" customFormat="false" ht="12.75" hidden="false" customHeight="false" outlineLevel="0" collapsed="false">
      <c r="A92" s="81"/>
      <c r="B92" s="70"/>
    </row>
    <row r="93" customFormat="false" ht="12.75" hidden="false" customHeight="false" outlineLevel="0" collapsed="false">
      <c r="A93" s="81"/>
      <c r="B93" s="70"/>
    </row>
    <row r="94" customFormat="false" ht="12.75" hidden="false" customHeight="false" outlineLevel="0" collapsed="false">
      <c r="A94" s="81"/>
      <c r="B94" s="70"/>
    </row>
    <row r="95" customFormat="false" ht="12.75" hidden="false" customHeight="false" outlineLevel="0" collapsed="false">
      <c r="A95" s="81"/>
      <c r="B95" s="70"/>
    </row>
    <row r="96" customFormat="false" ht="12.75" hidden="false" customHeight="false" outlineLevel="0" collapsed="false">
      <c r="A96" s="81"/>
      <c r="B96" s="70"/>
    </row>
    <row r="97" customFormat="false" ht="12.75" hidden="false" customHeight="false" outlineLevel="0" collapsed="false">
      <c r="A97" s="81"/>
      <c r="B97" s="70"/>
    </row>
    <row r="98" customFormat="false" ht="12.75" hidden="false" customHeight="false" outlineLevel="0" collapsed="false">
      <c r="A98" s="81"/>
      <c r="B98" s="70"/>
    </row>
    <row r="99" customFormat="false" ht="12.75" hidden="false" customHeight="false" outlineLevel="0" collapsed="false">
      <c r="A99" s="81"/>
      <c r="B99" s="70"/>
    </row>
    <row r="100" customFormat="false" ht="12.75" hidden="false" customHeight="false" outlineLevel="0" collapsed="false">
      <c r="A100" s="81"/>
      <c r="B100" s="70"/>
    </row>
    <row r="101" customFormat="false" ht="12.75" hidden="false" customHeight="false" outlineLevel="0" collapsed="false">
      <c r="A101" s="81"/>
      <c r="B101" s="70"/>
    </row>
    <row r="102" customFormat="false" ht="12.75" hidden="false" customHeight="false" outlineLevel="0" collapsed="false">
      <c r="A102" s="81"/>
      <c r="B102" s="70"/>
    </row>
    <row r="103" customFormat="false" ht="12.75" hidden="false" customHeight="false" outlineLevel="0" collapsed="false">
      <c r="A103" s="81"/>
      <c r="B103" s="70"/>
    </row>
    <row r="104" customFormat="false" ht="12.75" hidden="false" customHeight="false" outlineLevel="0" collapsed="false">
      <c r="A104" s="81"/>
      <c r="B104" s="70"/>
    </row>
    <row r="105" customFormat="false" ht="12.75" hidden="false" customHeight="false" outlineLevel="0" collapsed="false">
      <c r="A105" s="81"/>
      <c r="B105" s="70"/>
    </row>
    <row r="106" customFormat="false" ht="12.75" hidden="false" customHeight="false" outlineLevel="0" collapsed="false">
      <c r="A106" s="81"/>
      <c r="B106" s="70"/>
    </row>
    <row r="107" customFormat="false" ht="12.75" hidden="false" customHeight="false" outlineLevel="0" collapsed="false">
      <c r="A107" s="81"/>
      <c r="B107" s="70"/>
    </row>
    <row r="108" customFormat="false" ht="12.75" hidden="false" customHeight="false" outlineLevel="0" collapsed="false">
      <c r="A108" s="81"/>
      <c r="B108" s="70"/>
    </row>
    <row r="109" customFormat="false" ht="12.75" hidden="false" customHeight="false" outlineLevel="0" collapsed="false">
      <c r="A109" s="81"/>
      <c r="B109" s="70"/>
    </row>
    <row r="110" customFormat="false" ht="12.75" hidden="false" customHeight="false" outlineLevel="0" collapsed="false">
      <c r="A110" s="81"/>
      <c r="B110" s="70"/>
    </row>
    <row r="111" customFormat="false" ht="12.75" hidden="false" customHeight="false" outlineLevel="0" collapsed="false">
      <c r="A111" s="81"/>
      <c r="B111" s="70"/>
    </row>
    <row r="112" customFormat="false" ht="12.75" hidden="false" customHeight="false" outlineLevel="0" collapsed="false">
      <c r="A112" s="81"/>
      <c r="B112" s="70"/>
    </row>
    <row r="113" customFormat="false" ht="12.75" hidden="false" customHeight="false" outlineLevel="0" collapsed="false">
      <c r="A113" s="81"/>
      <c r="B113" s="70"/>
    </row>
    <row r="114" customFormat="false" ht="12.75" hidden="false" customHeight="false" outlineLevel="0" collapsed="false">
      <c r="A114" s="81"/>
    </row>
    <row r="115" customFormat="false" ht="12.75" hidden="false" customHeight="false" outlineLevel="0" collapsed="false">
      <c r="A115" s="81"/>
    </row>
    <row r="116" customFormat="false" ht="12.75" hidden="false" customHeight="false" outlineLevel="0" collapsed="false">
      <c r="A116" s="81"/>
    </row>
    <row r="117" customFormat="false" ht="12.75" hidden="false" customHeight="false" outlineLevel="0" collapsed="false">
      <c r="A117" s="81"/>
    </row>
    <row r="118" customFormat="false" ht="12.75" hidden="false" customHeight="false" outlineLevel="0" collapsed="false">
      <c r="A118" s="81"/>
    </row>
    <row r="119" customFormat="false" ht="12.75" hidden="false" customHeight="false" outlineLevel="0" collapsed="false">
      <c r="A119" s="81"/>
    </row>
    <row r="120" customFormat="false" ht="12.75" hidden="false" customHeight="false" outlineLevel="0" collapsed="false">
      <c r="A120" s="81"/>
    </row>
    <row r="121" customFormat="false" ht="12.75" hidden="false" customHeight="false" outlineLevel="0" collapsed="false">
      <c r="A121" s="81"/>
    </row>
    <row r="122" customFormat="false" ht="12.75" hidden="false" customHeight="false" outlineLevel="0" collapsed="false">
      <c r="A122" s="81"/>
    </row>
    <row r="123" customFormat="false" ht="12.75" hidden="false" customHeight="false" outlineLevel="0" collapsed="false">
      <c r="A123" s="81"/>
    </row>
    <row r="124" customFormat="false" ht="12.75" hidden="false" customHeight="false" outlineLevel="0" collapsed="false">
      <c r="A124" s="81"/>
    </row>
    <row r="125" customFormat="false" ht="12.75" hidden="false" customHeight="false" outlineLevel="0" collapsed="false">
      <c r="A125" s="81"/>
    </row>
    <row r="126" customFormat="false" ht="12.75" hidden="false" customHeight="false" outlineLevel="0" collapsed="false">
      <c r="A126" s="81"/>
    </row>
    <row r="127" customFormat="false" ht="12.75" hidden="false" customHeight="false" outlineLevel="0" collapsed="false">
      <c r="A127" s="81"/>
    </row>
    <row r="128" customFormat="false" ht="12.75" hidden="false" customHeight="false" outlineLevel="0" collapsed="false">
      <c r="A128" s="81"/>
    </row>
    <row r="129" customFormat="false" ht="12.75" hidden="false" customHeight="false" outlineLevel="0" collapsed="false">
      <c r="A129" s="81"/>
    </row>
    <row r="130" customFormat="false" ht="12.75" hidden="false" customHeight="false" outlineLevel="0" collapsed="false">
      <c r="A130" s="81"/>
    </row>
    <row r="131" customFormat="false" ht="12.75" hidden="false" customHeight="false" outlineLevel="0" collapsed="false">
      <c r="A131" s="81"/>
    </row>
    <row r="132" customFormat="false" ht="12.75" hidden="false" customHeight="false" outlineLevel="0" collapsed="false">
      <c r="A132" s="81"/>
    </row>
    <row r="133" customFormat="false" ht="12.75" hidden="false" customHeight="false" outlineLevel="0" collapsed="false">
      <c r="A133" s="81"/>
    </row>
    <row r="134" customFormat="false" ht="12.75" hidden="false" customHeight="false" outlineLevel="0" collapsed="false">
      <c r="A134" s="81"/>
    </row>
    <row r="135" customFormat="false" ht="12.75" hidden="false" customHeight="false" outlineLevel="0" collapsed="false">
      <c r="A135" s="81"/>
    </row>
    <row r="136" customFormat="false" ht="12.75" hidden="false" customHeight="false" outlineLevel="0" collapsed="false">
      <c r="A136" s="81"/>
    </row>
    <row r="137" customFormat="false" ht="12.75" hidden="false" customHeight="false" outlineLevel="0" collapsed="false">
      <c r="A137" s="81"/>
    </row>
    <row r="138" customFormat="false" ht="12.75" hidden="false" customHeight="false" outlineLevel="0" collapsed="false">
      <c r="A138" s="81"/>
    </row>
    <row r="139" customFormat="false" ht="12.75" hidden="false" customHeight="false" outlineLevel="0" collapsed="false">
      <c r="A139" s="81"/>
    </row>
    <row r="140" customFormat="false" ht="12.75" hidden="false" customHeight="false" outlineLevel="0" collapsed="false">
      <c r="A140" s="81"/>
    </row>
    <row r="141" customFormat="false" ht="12.75" hidden="false" customHeight="false" outlineLevel="0" collapsed="false">
      <c r="A141" s="81"/>
    </row>
    <row r="142" customFormat="false" ht="12.75" hidden="false" customHeight="false" outlineLevel="0" collapsed="false">
      <c r="A142" s="81"/>
    </row>
    <row r="143" customFormat="false" ht="12.75" hidden="false" customHeight="false" outlineLevel="0" collapsed="false">
      <c r="A143" s="81"/>
    </row>
    <row r="144" customFormat="false" ht="12.75" hidden="false" customHeight="false" outlineLevel="0" collapsed="false">
      <c r="A144" s="81"/>
    </row>
    <row r="145" customFormat="false" ht="12.75" hidden="false" customHeight="false" outlineLevel="0" collapsed="false">
      <c r="A145" s="81"/>
    </row>
    <row r="146" customFormat="false" ht="12.75" hidden="false" customHeight="false" outlineLevel="0" collapsed="false">
      <c r="A146" s="81"/>
    </row>
    <row r="147" customFormat="false" ht="12.75" hidden="false" customHeight="false" outlineLevel="0" collapsed="false">
      <c r="A147" s="81"/>
    </row>
    <row r="148" customFormat="false" ht="12.75" hidden="false" customHeight="false" outlineLevel="0" collapsed="false">
      <c r="A148" s="81"/>
    </row>
    <row r="149" customFormat="false" ht="12.75" hidden="false" customHeight="false" outlineLevel="0" collapsed="false">
      <c r="A149" s="81"/>
    </row>
    <row r="150" customFormat="false" ht="12.75" hidden="false" customHeight="false" outlineLevel="0" collapsed="false">
      <c r="A150" s="81"/>
    </row>
    <row r="151" customFormat="false" ht="12.75" hidden="false" customHeight="false" outlineLevel="0" collapsed="false">
      <c r="A151" s="81"/>
    </row>
    <row r="152" customFormat="false" ht="12.75" hidden="false" customHeight="false" outlineLevel="0" collapsed="false">
      <c r="A152" s="81"/>
    </row>
    <row r="153" customFormat="false" ht="12.75" hidden="false" customHeight="false" outlineLevel="0" collapsed="false">
      <c r="A153" s="81"/>
    </row>
    <row r="154" customFormat="false" ht="12.75" hidden="false" customHeight="false" outlineLevel="0" collapsed="false">
      <c r="A154" s="81"/>
    </row>
    <row r="155" customFormat="false" ht="12.75" hidden="false" customHeight="false" outlineLevel="0" collapsed="false">
      <c r="A155" s="81"/>
    </row>
    <row r="156" customFormat="false" ht="12.75" hidden="false" customHeight="false" outlineLevel="0" collapsed="false">
      <c r="A156" s="81"/>
    </row>
    <row r="157" customFormat="false" ht="12.75" hidden="false" customHeight="false" outlineLevel="0" collapsed="false">
      <c r="A157" s="81"/>
    </row>
    <row r="158" customFormat="false" ht="12.75" hidden="false" customHeight="false" outlineLevel="0" collapsed="false">
      <c r="A158" s="81"/>
    </row>
    <row r="159" customFormat="false" ht="12.75" hidden="false" customHeight="false" outlineLevel="0" collapsed="false">
      <c r="A159" s="81"/>
    </row>
    <row r="160" customFormat="false" ht="12.75" hidden="false" customHeight="false" outlineLevel="0" collapsed="false">
      <c r="A160" s="81"/>
    </row>
    <row r="161" customFormat="false" ht="12.75" hidden="false" customHeight="false" outlineLevel="0" collapsed="false">
      <c r="A161" s="81"/>
    </row>
    <row r="162" customFormat="false" ht="12.75" hidden="false" customHeight="false" outlineLevel="0" collapsed="false">
      <c r="A162" s="81"/>
    </row>
    <row r="163" customFormat="false" ht="12.75" hidden="false" customHeight="false" outlineLevel="0" collapsed="false">
      <c r="A163" s="81"/>
    </row>
    <row r="164" customFormat="false" ht="12.75" hidden="false" customHeight="false" outlineLevel="0" collapsed="false">
      <c r="A164" s="81"/>
    </row>
    <row r="165" customFormat="false" ht="12.75" hidden="false" customHeight="false" outlineLevel="0" collapsed="false">
      <c r="A165" s="81"/>
    </row>
    <row r="166" customFormat="false" ht="12.75" hidden="false" customHeight="false" outlineLevel="0" collapsed="false">
      <c r="A166" s="81"/>
    </row>
    <row r="167" customFormat="false" ht="12.75" hidden="false" customHeight="false" outlineLevel="0" collapsed="false">
      <c r="A167" s="81"/>
    </row>
    <row r="168" customFormat="false" ht="12.75" hidden="false" customHeight="false" outlineLevel="0" collapsed="false">
      <c r="A168" s="81"/>
    </row>
    <row r="169" customFormat="false" ht="12.75" hidden="false" customHeight="false" outlineLevel="0" collapsed="false">
      <c r="A169" s="81"/>
    </row>
    <row r="170" customFormat="false" ht="12.75" hidden="false" customHeight="false" outlineLevel="0" collapsed="false">
      <c r="A170" s="81"/>
    </row>
    <row r="171" customFormat="false" ht="12.75" hidden="false" customHeight="false" outlineLevel="0" collapsed="false">
      <c r="A171" s="81"/>
    </row>
    <row r="172" customFormat="false" ht="12.75" hidden="false" customHeight="false" outlineLevel="0" collapsed="false">
      <c r="A172" s="81"/>
    </row>
    <row r="173" customFormat="false" ht="12.75" hidden="false" customHeight="false" outlineLevel="0" collapsed="false">
      <c r="A173" s="81"/>
    </row>
    <row r="174" customFormat="false" ht="12.75" hidden="false" customHeight="false" outlineLevel="0" collapsed="false">
      <c r="A174" s="81"/>
    </row>
    <row r="175" customFormat="false" ht="12.75" hidden="false" customHeight="false" outlineLevel="0" collapsed="false">
      <c r="A175" s="81"/>
    </row>
    <row r="176" customFormat="false" ht="12.75" hidden="false" customHeight="false" outlineLevel="0" collapsed="false">
      <c r="A176" s="81"/>
    </row>
    <row r="177" customFormat="false" ht="12.75" hidden="false" customHeight="false" outlineLevel="0" collapsed="false">
      <c r="A177" s="81"/>
    </row>
    <row r="178" customFormat="false" ht="12.75" hidden="false" customHeight="false" outlineLevel="0" collapsed="false">
      <c r="A178" s="81"/>
    </row>
    <row r="179" customFormat="false" ht="12.75" hidden="false" customHeight="false" outlineLevel="0" collapsed="false">
      <c r="A179" s="81"/>
    </row>
    <row r="180" customFormat="false" ht="12.75" hidden="false" customHeight="false" outlineLevel="0" collapsed="false">
      <c r="A180" s="81"/>
    </row>
    <row r="181" customFormat="false" ht="12.75" hidden="false" customHeight="false" outlineLevel="0" collapsed="false">
      <c r="A181" s="81"/>
    </row>
    <row r="182" customFormat="false" ht="12.75" hidden="false" customHeight="false" outlineLevel="0" collapsed="false">
      <c r="A182" s="81"/>
    </row>
    <row r="183" customFormat="false" ht="12.75" hidden="false" customHeight="false" outlineLevel="0" collapsed="false">
      <c r="A183" s="81"/>
    </row>
    <row r="184" customFormat="false" ht="12.75" hidden="false" customHeight="false" outlineLevel="0" collapsed="false">
      <c r="A184" s="81"/>
    </row>
    <row r="185" customFormat="false" ht="12.75" hidden="false" customHeight="false" outlineLevel="0" collapsed="false">
      <c r="A185" s="81"/>
    </row>
    <row r="186" customFormat="false" ht="12.75" hidden="false" customHeight="false" outlineLevel="0" collapsed="false">
      <c r="A186" s="81"/>
    </row>
    <row r="187" customFormat="false" ht="12.75" hidden="false" customHeight="false" outlineLevel="0" collapsed="false">
      <c r="A187" s="81"/>
    </row>
    <row r="188" customFormat="false" ht="12.75" hidden="false" customHeight="false" outlineLevel="0" collapsed="false">
      <c r="A188" s="81"/>
    </row>
    <row r="189" customFormat="false" ht="12.75" hidden="false" customHeight="false" outlineLevel="0" collapsed="false">
      <c r="A189" s="81"/>
    </row>
    <row r="190" customFormat="false" ht="12.75" hidden="false" customHeight="false" outlineLevel="0" collapsed="false">
      <c r="A190" s="81"/>
    </row>
    <row r="191" customFormat="false" ht="12.75" hidden="false" customHeight="false" outlineLevel="0" collapsed="false">
      <c r="A191" s="81"/>
    </row>
    <row r="192" customFormat="false" ht="12.75" hidden="false" customHeight="false" outlineLevel="0" collapsed="false">
      <c r="A192" s="81"/>
    </row>
    <row r="193" customFormat="false" ht="12.75" hidden="false" customHeight="false" outlineLevel="0" collapsed="false">
      <c r="A193" s="81"/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J326"/>
  <sheetViews>
    <sheetView showFormulas="false" showGridLines="true" showRowColHeaders="true" showZeros="true" rightToLeft="false" tabSelected="false" showOutlineSymbols="true" defaultGridColor="true" view="normal" topLeftCell="A19" colorId="64" zoomScale="100" zoomScaleNormal="100" zoomScalePageLayoutView="100" workbookViewId="0">
      <selection pane="topLeft" activeCell="B32" activeCellId="0" sqref="B32"/>
    </sheetView>
  </sheetViews>
  <sheetFormatPr defaultColWidth="10.6875" defaultRowHeight="12.75" zeroHeight="false" outlineLevelRow="0" outlineLevelCol="0"/>
  <cols>
    <col collapsed="false" customWidth="true" hidden="false" outlineLevel="0" max="1" min="1" style="0" width="14.57"/>
    <col collapsed="false" customWidth="true" hidden="false" outlineLevel="0" max="2" min="2" style="0" width="16.14"/>
    <col collapsed="false" customWidth="true" hidden="false" outlineLevel="0" max="6" min="6" style="71" width="15.29"/>
    <col collapsed="false" customWidth="true" hidden="false" outlineLevel="0" max="7" min="7" style="0" width="13.7"/>
    <col collapsed="false" customWidth="true" hidden="false" outlineLevel="0" max="10" min="10" style="0" width="12.71"/>
  </cols>
  <sheetData>
    <row r="1" customFormat="false" ht="15" hidden="false" customHeight="false" outlineLevel="0" collapsed="false">
      <c r="A1" s="54" t="s">
        <v>0</v>
      </c>
      <c r="B1" s="25"/>
      <c r="C1" s="33"/>
      <c r="D1" s="60" t="s">
        <v>22</v>
      </c>
    </row>
    <row r="2" customFormat="false" ht="14.25" hidden="false" customHeight="false" outlineLevel="0" collapsed="false">
      <c r="A2" s="61"/>
      <c r="B2" s="25"/>
      <c r="C2" s="33"/>
      <c r="D2" s="25"/>
    </row>
    <row r="3" customFormat="false" ht="15" hidden="false" customHeight="false" outlineLevel="0" collapsed="false">
      <c r="A3" s="54" t="s">
        <v>1</v>
      </c>
      <c r="B3" s="25"/>
      <c r="C3" s="33"/>
      <c r="D3" s="25"/>
    </row>
    <row r="4" customFormat="false" ht="14.25" hidden="false" customHeight="false" outlineLevel="0" collapsed="false">
      <c r="A4" s="61"/>
      <c r="B4" s="25"/>
      <c r="C4" s="33"/>
      <c r="D4" s="25"/>
    </row>
    <row r="5" customFormat="false" ht="15" hidden="false" customHeight="false" outlineLevel="0" collapsed="false">
      <c r="A5" s="54" t="s">
        <v>2</v>
      </c>
      <c r="B5" s="28" t="s">
        <v>11</v>
      </c>
      <c r="C5" s="29" t="s">
        <v>5</v>
      </c>
      <c r="D5" s="25"/>
    </row>
    <row r="6" customFormat="false" ht="12.75" hidden="false" customHeight="false" outlineLevel="0" collapsed="false">
      <c r="A6" s="82" t="n">
        <v>42012</v>
      </c>
      <c r="B6" s="70" t="n">
        <v>839000</v>
      </c>
      <c r="C6" s="71" t="n">
        <v>20.51</v>
      </c>
      <c r="F6" s="71" t="n">
        <f aca="false">+B6*C6</f>
        <v>17207890</v>
      </c>
    </row>
    <row r="7" customFormat="false" ht="12.75" hidden="false" customHeight="false" outlineLevel="0" collapsed="false">
      <c r="A7" s="82" t="n">
        <v>42017</v>
      </c>
      <c r="B7" s="70" t="n">
        <v>70000</v>
      </c>
      <c r="C7" s="71" t="n">
        <v>20.5</v>
      </c>
      <c r="F7" s="71" t="n">
        <f aca="false">+B7*C7</f>
        <v>1435000</v>
      </c>
    </row>
    <row r="8" customFormat="false" ht="12.75" hidden="false" customHeight="false" outlineLevel="0" collapsed="false">
      <c r="A8" s="82" t="n">
        <v>42019</v>
      </c>
      <c r="B8" s="70" t="n">
        <v>60000</v>
      </c>
      <c r="C8" s="71" t="n">
        <v>20.5</v>
      </c>
      <c r="F8" s="71" t="n">
        <f aca="false">+B8*C8</f>
        <v>1230000</v>
      </c>
    </row>
    <row r="9" customFormat="false" ht="12.75" hidden="false" customHeight="false" outlineLevel="0" collapsed="false">
      <c r="A9" s="82" t="n">
        <v>42033</v>
      </c>
      <c r="B9" s="70" t="n">
        <v>942921</v>
      </c>
      <c r="C9" s="71" t="n">
        <v>20.5</v>
      </c>
      <c r="F9" s="71" t="n">
        <f aca="false">+B9*C9</f>
        <v>19329880.5</v>
      </c>
    </row>
    <row r="10" customFormat="false" ht="12.75" hidden="false" customHeight="false" outlineLevel="0" collapsed="false">
      <c r="A10" s="82" t="n">
        <v>42040</v>
      </c>
      <c r="B10" s="70" t="n">
        <v>9048989</v>
      </c>
      <c r="C10" s="71" t="n">
        <v>21.05</v>
      </c>
      <c r="D10" s="78" t="s">
        <v>23</v>
      </c>
      <c r="F10" s="71" t="n">
        <f aca="false">+B10*C10</f>
        <v>190481218.45</v>
      </c>
    </row>
    <row r="11" customFormat="false" ht="12.75" hidden="false" customHeight="false" outlineLevel="0" collapsed="false">
      <c r="A11" s="82" t="n">
        <v>42061</v>
      </c>
      <c r="B11" s="70" t="n">
        <v>7550845</v>
      </c>
      <c r="C11" s="71" t="n">
        <v>21</v>
      </c>
      <c r="F11" s="71" t="n">
        <f aca="false">+B11*C11</f>
        <v>158567745</v>
      </c>
    </row>
    <row r="12" customFormat="false" ht="12.75" hidden="false" customHeight="false" outlineLevel="0" collapsed="false">
      <c r="A12" s="82" t="n">
        <v>42073</v>
      </c>
      <c r="B12" s="70" t="n">
        <v>300000</v>
      </c>
      <c r="C12" s="71" t="n">
        <v>20.5</v>
      </c>
      <c r="F12" s="71" t="n">
        <f aca="false">+B12*C12</f>
        <v>6150000</v>
      </c>
    </row>
    <row r="13" customFormat="false" ht="12.75" hidden="false" customHeight="false" outlineLevel="0" collapsed="false">
      <c r="A13" s="82" t="n">
        <v>42075</v>
      </c>
      <c r="B13" s="70" t="n">
        <v>2597989</v>
      </c>
      <c r="C13" s="71" t="n">
        <v>20.67</v>
      </c>
      <c r="D13" s="0" t="s">
        <v>24</v>
      </c>
      <c r="F13" s="71" t="n">
        <f aca="false">+B13*C13</f>
        <v>53700432.63</v>
      </c>
    </row>
    <row r="14" customFormat="false" ht="12.75" hidden="false" customHeight="false" outlineLevel="0" collapsed="false">
      <c r="A14" s="82" t="n">
        <v>42114</v>
      </c>
      <c r="B14" s="70" t="n">
        <v>10468653</v>
      </c>
      <c r="C14" s="71" t="n">
        <v>20.25</v>
      </c>
      <c r="F14" s="71" t="n">
        <f aca="false">+B14*C14</f>
        <v>211990223.25</v>
      </c>
    </row>
    <row r="15" customFormat="false" ht="12.75" hidden="false" customHeight="false" outlineLevel="0" collapsed="false">
      <c r="A15" s="82" t="n">
        <v>42123</v>
      </c>
      <c r="B15" s="70" t="n">
        <v>98100</v>
      </c>
      <c r="C15" s="71" t="n">
        <v>20.25</v>
      </c>
      <c r="F15" s="71" t="n">
        <f aca="false">+B15*C15</f>
        <v>1986525</v>
      </c>
    </row>
    <row r="16" customFormat="false" ht="12.75" hidden="false" customHeight="false" outlineLevel="0" collapsed="false">
      <c r="A16" s="82" t="n">
        <v>42124</v>
      </c>
      <c r="B16" s="70" t="n">
        <v>1578686</v>
      </c>
      <c r="C16" s="71" t="n">
        <v>20.38</v>
      </c>
      <c r="D16" s="0" t="s">
        <v>25</v>
      </c>
      <c r="F16" s="71" t="n">
        <f aca="false">+B16*C16</f>
        <v>32173620.68</v>
      </c>
    </row>
    <row r="17" customFormat="false" ht="12.75" hidden="false" customHeight="false" outlineLevel="0" collapsed="false">
      <c r="A17" s="82" t="n">
        <v>42132</v>
      </c>
      <c r="B17" s="70" t="n">
        <v>2823218</v>
      </c>
      <c r="C17" s="71" t="n">
        <v>20.9</v>
      </c>
      <c r="F17" s="71" t="n">
        <f aca="false">+B17*C17</f>
        <v>59005256.2</v>
      </c>
    </row>
    <row r="18" customFormat="false" ht="12.75" hidden="false" customHeight="false" outlineLevel="0" collapsed="false">
      <c r="A18" s="82" t="n">
        <v>42165</v>
      </c>
      <c r="B18" s="70" t="n">
        <v>7500000</v>
      </c>
      <c r="C18" s="71" t="n">
        <v>20.25</v>
      </c>
      <c r="F18" s="71" t="n">
        <f aca="false">+B18*C18</f>
        <v>151875000</v>
      </c>
    </row>
    <row r="19" customFormat="false" ht="12.75" hidden="false" customHeight="false" outlineLevel="0" collapsed="false">
      <c r="A19" s="82" t="n">
        <v>42167</v>
      </c>
      <c r="B19" s="70" t="n">
        <v>2276835</v>
      </c>
      <c r="C19" s="71" t="n">
        <v>20</v>
      </c>
      <c r="F19" s="71" t="n">
        <f aca="false">+B19*C19</f>
        <v>45536700</v>
      </c>
    </row>
    <row r="20" customFormat="false" ht="12.75" hidden="false" customHeight="false" outlineLevel="0" collapsed="false">
      <c r="A20" s="83" t="s">
        <v>26</v>
      </c>
      <c r="B20" s="83"/>
      <c r="C20" s="83"/>
      <c r="D20" s="83"/>
      <c r="E20" s="83"/>
      <c r="G20" s="84" t="n">
        <f aca="false">SUM(F6:F19)</f>
        <v>950669491.71</v>
      </c>
      <c r="J20" s="71"/>
    </row>
    <row r="21" customFormat="false" ht="12.75" hidden="false" customHeight="false" outlineLevel="0" collapsed="false">
      <c r="A21" s="82" t="n">
        <v>42192</v>
      </c>
      <c r="B21" s="70" t="n">
        <v>2300000</v>
      </c>
      <c r="C21" s="71" t="n">
        <v>21</v>
      </c>
      <c r="F21" s="71" t="n">
        <f aca="false">+B21*C21</f>
        <v>48300000</v>
      </c>
    </row>
    <row r="22" customFormat="false" ht="12.75" hidden="false" customHeight="false" outlineLevel="0" collapsed="false">
      <c r="A22" s="82" t="n">
        <v>42206</v>
      </c>
      <c r="B22" s="70" t="n">
        <v>1025000</v>
      </c>
      <c r="C22" s="71" t="n">
        <v>20.5</v>
      </c>
      <c r="F22" s="71" t="n">
        <f aca="false">+B22*C22</f>
        <v>21012500</v>
      </c>
    </row>
    <row r="23" customFormat="false" ht="12.75" hidden="false" customHeight="false" outlineLevel="0" collapsed="false">
      <c r="A23" s="82" t="n">
        <v>42216</v>
      </c>
      <c r="B23" s="70" t="n">
        <v>151305</v>
      </c>
      <c r="C23" s="71" t="n">
        <v>20.5</v>
      </c>
      <c r="F23" s="71" t="n">
        <f aca="false">+B23*C23</f>
        <v>3101752.5</v>
      </c>
    </row>
    <row r="24" customFormat="false" ht="12.75" hidden="false" customHeight="false" outlineLevel="0" collapsed="false">
      <c r="A24" s="82" t="n">
        <v>42222</v>
      </c>
      <c r="B24" s="70" t="n">
        <v>375000</v>
      </c>
      <c r="C24" s="71" t="n">
        <v>20</v>
      </c>
      <c r="F24" s="71" t="n">
        <f aca="false">+B24*C24</f>
        <v>7500000</v>
      </c>
    </row>
    <row r="25" customFormat="false" ht="12.75" hidden="false" customHeight="false" outlineLevel="0" collapsed="false">
      <c r="A25" s="82" t="n">
        <v>42272</v>
      </c>
      <c r="B25" s="70" t="n">
        <v>1790000</v>
      </c>
      <c r="C25" s="71" t="n">
        <v>19.35</v>
      </c>
      <c r="F25" s="71" t="n">
        <f aca="false">+B25*C25</f>
        <v>34636500</v>
      </c>
    </row>
    <row r="26" customFormat="false" ht="12.75" hidden="false" customHeight="false" outlineLevel="0" collapsed="false">
      <c r="A26" s="82" t="n">
        <v>42277</v>
      </c>
      <c r="B26" s="70" t="n">
        <v>3607195</v>
      </c>
      <c r="C26" s="71" t="n">
        <v>19</v>
      </c>
      <c r="F26" s="71" t="n">
        <f aca="false">+B26*C26</f>
        <v>68536705</v>
      </c>
    </row>
    <row r="27" customFormat="false" ht="12.75" hidden="false" customHeight="false" outlineLevel="0" collapsed="false">
      <c r="A27" s="82" t="n">
        <v>42290</v>
      </c>
      <c r="B27" s="70" t="n">
        <v>10034</v>
      </c>
      <c r="C27" s="71" t="n">
        <v>19</v>
      </c>
      <c r="F27" s="71" t="n">
        <f aca="false">+B27*C27</f>
        <v>190646</v>
      </c>
    </row>
    <row r="28" customFormat="false" ht="12.75" hidden="false" customHeight="false" outlineLevel="0" collapsed="false">
      <c r="A28" s="82" t="n">
        <v>42293</v>
      </c>
      <c r="B28" s="70" t="n">
        <v>29721</v>
      </c>
      <c r="C28" s="71" t="n">
        <v>19</v>
      </c>
      <c r="F28" s="71" t="n">
        <f aca="false">+B28*C28</f>
        <v>564699</v>
      </c>
    </row>
    <row r="29" customFormat="false" ht="12.75" hidden="false" customHeight="false" outlineLevel="0" collapsed="false">
      <c r="A29" s="82" t="n">
        <v>42307</v>
      </c>
      <c r="B29" s="70" t="n">
        <v>304447</v>
      </c>
      <c r="C29" s="71" t="n">
        <v>18</v>
      </c>
      <c r="F29" s="71" t="n">
        <f aca="false">+B29*C29</f>
        <v>5480046</v>
      </c>
    </row>
    <row r="30" customFormat="false" ht="12.75" hidden="false" customHeight="false" outlineLevel="0" collapsed="false">
      <c r="A30" s="82" t="n">
        <v>42313</v>
      </c>
      <c r="B30" s="70" t="n">
        <v>2500</v>
      </c>
      <c r="C30" s="71" t="n">
        <v>18</v>
      </c>
      <c r="F30" s="71" t="n">
        <f aca="false">+B30*C30</f>
        <v>45000</v>
      </c>
    </row>
    <row r="31" customFormat="false" ht="12.75" hidden="false" customHeight="false" outlineLevel="0" collapsed="false">
      <c r="A31" s="82" t="n">
        <v>42320</v>
      </c>
      <c r="B31" s="70" t="n">
        <v>32765</v>
      </c>
      <c r="C31" s="71" t="n">
        <v>18.75</v>
      </c>
      <c r="F31" s="71" t="n">
        <f aca="false">+B31*C31</f>
        <v>614343.75</v>
      </c>
    </row>
    <row r="32" customFormat="false" ht="12.75" hidden="false" customHeight="false" outlineLevel="0" collapsed="false">
      <c r="A32" s="82" t="n">
        <v>42324</v>
      </c>
      <c r="B32" s="70" t="n">
        <v>502300</v>
      </c>
      <c r="C32" s="71" t="n">
        <v>18.5</v>
      </c>
      <c r="F32" s="71" t="n">
        <f aca="false">+B32*C32</f>
        <v>9292550</v>
      </c>
    </row>
    <row r="33" customFormat="false" ht="12.75" hidden="false" customHeight="false" outlineLevel="0" collapsed="false">
      <c r="A33" s="82" t="n">
        <v>42340</v>
      </c>
      <c r="B33" s="70" t="n">
        <v>11645667</v>
      </c>
      <c r="C33" s="71" t="n">
        <v>18.47</v>
      </c>
      <c r="D33" s="0" t="s">
        <v>27</v>
      </c>
      <c r="F33" s="71" t="n">
        <f aca="false">+B33*C33</f>
        <v>215095469.49</v>
      </c>
    </row>
    <row r="34" customFormat="false" ht="12.75" hidden="false" customHeight="false" outlineLevel="0" collapsed="false">
      <c r="A34" s="82" t="n">
        <v>42341</v>
      </c>
      <c r="B34" s="70" t="n">
        <v>434591</v>
      </c>
      <c r="C34" s="71" t="n">
        <v>18.4</v>
      </c>
      <c r="F34" s="71" t="n">
        <f aca="false">+B34*C34</f>
        <v>7996474.4</v>
      </c>
    </row>
    <row r="35" customFormat="false" ht="12.75" hidden="false" customHeight="false" outlineLevel="0" collapsed="false">
      <c r="A35" s="82" t="n">
        <v>42346</v>
      </c>
      <c r="B35" s="70" t="n">
        <v>32011</v>
      </c>
      <c r="C35" s="71" t="n">
        <v>18.4</v>
      </c>
      <c r="F35" s="71" t="n">
        <f aca="false">+B35*C35</f>
        <v>589002.4</v>
      </c>
    </row>
    <row r="36" customFormat="false" ht="12.75" hidden="false" customHeight="false" outlineLevel="0" collapsed="false">
      <c r="A36" s="85" t="s">
        <v>28</v>
      </c>
      <c r="B36" s="86" t="n">
        <f aca="false">SUM(B6:B35)</f>
        <v>68397772</v>
      </c>
      <c r="C36" s="87" t="s">
        <v>29</v>
      </c>
      <c r="D36" s="87"/>
      <c r="E36" s="88" t="s">
        <v>30</v>
      </c>
      <c r="F36" s="89" t="n">
        <f aca="false">SUM(F6:F35)</f>
        <v>1373625180.25</v>
      </c>
    </row>
    <row r="37" customFormat="false" ht="12.75" hidden="false" customHeight="false" outlineLevel="0" collapsed="false">
      <c r="A37" s="82"/>
    </row>
    <row r="38" customFormat="false" ht="12.75" hidden="false" customHeight="false" outlineLevel="0" collapsed="false">
      <c r="A38" s="82"/>
    </row>
    <row r="39" customFormat="false" ht="12.75" hidden="false" customHeight="false" outlineLevel="0" collapsed="false">
      <c r="A39" s="81"/>
    </row>
    <row r="40" customFormat="false" ht="12.75" hidden="false" customHeight="false" outlineLevel="0" collapsed="false">
      <c r="A40" s="90" t="s">
        <v>31</v>
      </c>
      <c r="B40" s="90"/>
      <c r="C40" s="90"/>
      <c r="D40" s="90"/>
    </row>
    <row r="41" customFormat="false" ht="12.75" hidden="false" customHeight="false" outlineLevel="0" collapsed="false">
      <c r="A41" s="90"/>
      <c r="B41" s="90"/>
      <c r="C41" s="91" t="n">
        <v>68397772</v>
      </c>
      <c r="D41" s="92" t="s">
        <v>29</v>
      </c>
    </row>
    <row r="42" customFormat="false" ht="12.75" hidden="false" customHeight="false" outlineLevel="0" collapsed="false">
      <c r="A42" s="90" t="s">
        <v>32</v>
      </c>
      <c r="B42" s="90"/>
      <c r="C42" s="90"/>
      <c r="D42" s="90"/>
    </row>
    <row r="43" customFormat="false" ht="12.75" hidden="false" customHeight="false" outlineLevel="0" collapsed="false">
      <c r="A43" s="93" t="s">
        <v>30</v>
      </c>
      <c r="B43" s="94" t="n">
        <v>1373625180.25</v>
      </c>
      <c r="C43" s="90"/>
      <c r="D43" s="90"/>
    </row>
    <row r="44" customFormat="false" ht="12.75" hidden="false" customHeight="false" outlineLevel="0" collapsed="false">
      <c r="A44" s="81"/>
    </row>
    <row r="45" customFormat="false" ht="12.75" hidden="false" customHeight="false" outlineLevel="0" collapsed="false">
      <c r="A45" s="81"/>
    </row>
    <row r="46" customFormat="false" ht="12.75" hidden="false" customHeight="false" outlineLevel="0" collapsed="false">
      <c r="A46" s="81"/>
    </row>
    <row r="47" customFormat="false" ht="12.75" hidden="false" customHeight="false" outlineLevel="0" collapsed="false">
      <c r="A47" s="81"/>
    </row>
    <row r="48" customFormat="false" ht="12.75" hidden="false" customHeight="false" outlineLevel="0" collapsed="false">
      <c r="A48" s="81"/>
    </row>
    <row r="49" customFormat="false" ht="12.75" hidden="false" customHeight="false" outlineLevel="0" collapsed="false">
      <c r="A49" s="81"/>
    </row>
    <row r="50" customFormat="false" ht="12.75" hidden="false" customHeight="false" outlineLevel="0" collapsed="false">
      <c r="A50" s="81"/>
    </row>
    <row r="51" customFormat="false" ht="12.75" hidden="false" customHeight="false" outlineLevel="0" collapsed="false">
      <c r="A51" s="81"/>
    </row>
    <row r="52" customFormat="false" ht="12.75" hidden="false" customHeight="false" outlineLevel="0" collapsed="false">
      <c r="A52" s="81"/>
    </row>
    <row r="53" customFormat="false" ht="12.75" hidden="false" customHeight="false" outlineLevel="0" collapsed="false">
      <c r="A53" s="81"/>
    </row>
    <row r="54" customFormat="false" ht="12.75" hidden="false" customHeight="false" outlineLevel="0" collapsed="false">
      <c r="A54" s="81"/>
    </row>
    <row r="55" customFormat="false" ht="12.75" hidden="false" customHeight="false" outlineLevel="0" collapsed="false">
      <c r="A55" s="81"/>
    </row>
    <row r="56" customFormat="false" ht="12.75" hidden="false" customHeight="false" outlineLevel="0" collapsed="false">
      <c r="A56" s="81"/>
    </row>
    <row r="57" customFormat="false" ht="12.75" hidden="false" customHeight="false" outlineLevel="0" collapsed="false">
      <c r="A57" s="81"/>
    </row>
    <row r="58" customFormat="false" ht="12.75" hidden="false" customHeight="false" outlineLevel="0" collapsed="false">
      <c r="A58" s="81"/>
    </row>
    <row r="59" customFormat="false" ht="12.75" hidden="false" customHeight="false" outlineLevel="0" collapsed="false">
      <c r="A59" s="81"/>
    </row>
    <row r="60" customFormat="false" ht="12.75" hidden="false" customHeight="false" outlineLevel="0" collapsed="false">
      <c r="A60" s="81"/>
    </row>
    <row r="61" customFormat="false" ht="12.75" hidden="false" customHeight="false" outlineLevel="0" collapsed="false">
      <c r="A61" s="81"/>
    </row>
    <row r="62" customFormat="false" ht="12.75" hidden="false" customHeight="false" outlineLevel="0" collapsed="false">
      <c r="A62" s="81"/>
    </row>
    <row r="63" customFormat="false" ht="12.75" hidden="false" customHeight="false" outlineLevel="0" collapsed="false">
      <c r="A63" s="81"/>
    </row>
    <row r="64" customFormat="false" ht="12.75" hidden="false" customHeight="false" outlineLevel="0" collapsed="false">
      <c r="A64" s="81"/>
    </row>
    <row r="65" customFormat="false" ht="12.75" hidden="false" customHeight="false" outlineLevel="0" collapsed="false">
      <c r="A65" s="81"/>
    </row>
    <row r="66" customFormat="false" ht="12.75" hidden="false" customHeight="false" outlineLevel="0" collapsed="false">
      <c r="A66" s="81"/>
    </row>
    <row r="67" customFormat="false" ht="12.75" hidden="false" customHeight="false" outlineLevel="0" collapsed="false">
      <c r="A67" s="81"/>
    </row>
    <row r="68" customFormat="false" ht="12.75" hidden="false" customHeight="false" outlineLevel="0" collapsed="false">
      <c r="A68" s="81"/>
    </row>
    <row r="69" customFormat="false" ht="12.75" hidden="false" customHeight="false" outlineLevel="0" collapsed="false">
      <c r="A69" s="81"/>
    </row>
    <row r="70" customFormat="false" ht="12.75" hidden="false" customHeight="false" outlineLevel="0" collapsed="false">
      <c r="A70" s="81"/>
    </row>
    <row r="71" customFormat="false" ht="12.75" hidden="false" customHeight="false" outlineLevel="0" collapsed="false">
      <c r="A71" s="81"/>
    </row>
    <row r="72" customFormat="false" ht="12.75" hidden="false" customHeight="false" outlineLevel="0" collapsed="false">
      <c r="A72" s="81"/>
    </row>
    <row r="73" customFormat="false" ht="12.75" hidden="false" customHeight="false" outlineLevel="0" collapsed="false">
      <c r="A73" s="81"/>
    </row>
    <row r="74" customFormat="false" ht="12.75" hidden="false" customHeight="false" outlineLevel="0" collapsed="false">
      <c r="A74" s="81"/>
    </row>
    <row r="75" customFormat="false" ht="12.75" hidden="false" customHeight="false" outlineLevel="0" collapsed="false">
      <c r="A75" s="81"/>
    </row>
    <row r="76" customFormat="false" ht="12.75" hidden="false" customHeight="false" outlineLevel="0" collapsed="false">
      <c r="A76" s="81"/>
    </row>
    <row r="77" customFormat="false" ht="12.75" hidden="false" customHeight="false" outlineLevel="0" collapsed="false">
      <c r="A77" s="81"/>
    </row>
    <row r="78" customFormat="false" ht="12.75" hidden="false" customHeight="false" outlineLevel="0" collapsed="false">
      <c r="A78" s="81"/>
    </row>
    <row r="79" customFormat="false" ht="12.75" hidden="false" customHeight="false" outlineLevel="0" collapsed="false">
      <c r="A79" s="81"/>
    </row>
    <row r="80" customFormat="false" ht="12.75" hidden="false" customHeight="false" outlineLevel="0" collapsed="false">
      <c r="A80" s="81"/>
    </row>
    <row r="81" customFormat="false" ht="12.75" hidden="false" customHeight="false" outlineLevel="0" collapsed="false">
      <c r="A81" s="81"/>
    </row>
    <row r="82" customFormat="false" ht="12.75" hidden="false" customHeight="false" outlineLevel="0" collapsed="false">
      <c r="A82" s="81"/>
    </row>
    <row r="83" customFormat="false" ht="12.75" hidden="false" customHeight="false" outlineLevel="0" collapsed="false">
      <c r="A83" s="81"/>
    </row>
    <row r="84" customFormat="false" ht="12.75" hidden="false" customHeight="false" outlineLevel="0" collapsed="false">
      <c r="A84" s="81"/>
    </row>
    <row r="85" customFormat="false" ht="12.75" hidden="false" customHeight="false" outlineLevel="0" collapsed="false">
      <c r="A85" s="81"/>
    </row>
    <row r="86" customFormat="false" ht="12.75" hidden="false" customHeight="false" outlineLevel="0" collapsed="false">
      <c r="A86" s="81"/>
    </row>
    <row r="87" customFormat="false" ht="12.75" hidden="false" customHeight="false" outlineLevel="0" collapsed="false">
      <c r="A87" s="81"/>
    </row>
    <row r="88" customFormat="false" ht="12.75" hidden="false" customHeight="false" outlineLevel="0" collapsed="false">
      <c r="A88" s="81"/>
    </row>
    <row r="89" customFormat="false" ht="12.75" hidden="false" customHeight="false" outlineLevel="0" collapsed="false">
      <c r="A89" s="81"/>
    </row>
    <row r="90" customFormat="false" ht="12.75" hidden="false" customHeight="false" outlineLevel="0" collapsed="false">
      <c r="A90" s="81"/>
    </row>
    <row r="91" customFormat="false" ht="12.75" hidden="false" customHeight="false" outlineLevel="0" collapsed="false">
      <c r="A91" s="81"/>
    </row>
    <row r="92" customFormat="false" ht="12.75" hidden="false" customHeight="false" outlineLevel="0" collapsed="false">
      <c r="A92" s="81"/>
    </row>
    <row r="93" customFormat="false" ht="12.75" hidden="false" customHeight="false" outlineLevel="0" collapsed="false">
      <c r="A93" s="81"/>
    </row>
    <row r="94" customFormat="false" ht="12.75" hidden="false" customHeight="false" outlineLevel="0" collapsed="false">
      <c r="A94" s="81"/>
    </row>
    <row r="95" customFormat="false" ht="12.75" hidden="false" customHeight="false" outlineLevel="0" collapsed="false">
      <c r="A95" s="81"/>
    </row>
    <row r="96" customFormat="false" ht="12.75" hidden="false" customHeight="false" outlineLevel="0" collapsed="false">
      <c r="A96" s="81"/>
    </row>
    <row r="97" customFormat="false" ht="12.75" hidden="false" customHeight="false" outlineLevel="0" collapsed="false">
      <c r="A97" s="81"/>
    </row>
    <row r="98" customFormat="false" ht="12.75" hidden="false" customHeight="false" outlineLevel="0" collapsed="false">
      <c r="A98" s="81"/>
    </row>
    <row r="99" customFormat="false" ht="12.75" hidden="false" customHeight="false" outlineLevel="0" collapsed="false">
      <c r="A99" s="81"/>
    </row>
    <row r="100" customFormat="false" ht="12.75" hidden="false" customHeight="false" outlineLevel="0" collapsed="false">
      <c r="A100" s="81"/>
    </row>
    <row r="101" customFormat="false" ht="12.75" hidden="false" customHeight="false" outlineLevel="0" collapsed="false">
      <c r="A101" s="81"/>
    </row>
    <row r="102" customFormat="false" ht="12.75" hidden="false" customHeight="false" outlineLevel="0" collapsed="false">
      <c r="A102" s="81"/>
    </row>
    <row r="103" customFormat="false" ht="12.75" hidden="false" customHeight="false" outlineLevel="0" collapsed="false">
      <c r="A103" s="81"/>
    </row>
    <row r="104" customFormat="false" ht="12.75" hidden="false" customHeight="false" outlineLevel="0" collapsed="false">
      <c r="A104" s="81"/>
    </row>
    <row r="105" customFormat="false" ht="12.75" hidden="false" customHeight="false" outlineLevel="0" collapsed="false">
      <c r="A105" s="81"/>
    </row>
    <row r="106" customFormat="false" ht="12.75" hidden="false" customHeight="false" outlineLevel="0" collapsed="false">
      <c r="A106" s="81"/>
    </row>
    <row r="107" customFormat="false" ht="12.75" hidden="false" customHeight="false" outlineLevel="0" collapsed="false">
      <c r="A107" s="81"/>
    </row>
    <row r="108" customFormat="false" ht="12.75" hidden="false" customHeight="false" outlineLevel="0" collapsed="false">
      <c r="A108" s="81"/>
    </row>
    <row r="109" customFormat="false" ht="12.75" hidden="false" customHeight="false" outlineLevel="0" collapsed="false">
      <c r="A109" s="81"/>
    </row>
    <row r="110" customFormat="false" ht="12.75" hidden="false" customHeight="false" outlineLevel="0" collapsed="false">
      <c r="A110" s="81"/>
    </row>
    <row r="111" customFormat="false" ht="12.75" hidden="false" customHeight="false" outlineLevel="0" collapsed="false">
      <c r="A111" s="81"/>
    </row>
    <row r="112" customFormat="false" ht="12.75" hidden="false" customHeight="false" outlineLevel="0" collapsed="false">
      <c r="A112" s="81"/>
    </row>
    <row r="113" customFormat="false" ht="12.75" hidden="false" customHeight="false" outlineLevel="0" collapsed="false">
      <c r="A113" s="81"/>
    </row>
    <row r="114" customFormat="false" ht="12.75" hidden="false" customHeight="false" outlineLevel="0" collapsed="false">
      <c r="A114" s="81"/>
    </row>
    <row r="115" customFormat="false" ht="12.75" hidden="false" customHeight="false" outlineLevel="0" collapsed="false">
      <c r="A115" s="81"/>
    </row>
    <row r="116" customFormat="false" ht="12.75" hidden="false" customHeight="false" outlineLevel="0" collapsed="false">
      <c r="A116" s="81"/>
    </row>
    <row r="117" customFormat="false" ht="12.75" hidden="false" customHeight="false" outlineLevel="0" collapsed="false">
      <c r="A117" s="81"/>
    </row>
    <row r="118" customFormat="false" ht="12.75" hidden="false" customHeight="false" outlineLevel="0" collapsed="false">
      <c r="A118" s="81"/>
    </row>
    <row r="119" customFormat="false" ht="12.75" hidden="false" customHeight="false" outlineLevel="0" collapsed="false">
      <c r="A119" s="81"/>
    </row>
    <row r="120" customFormat="false" ht="12.75" hidden="false" customHeight="false" outlineLevel="0" collapsed="false">
      <c r="A120" s="81"/>
    </row>
    <row r="121" customFormat="false" ht="12.75" hidden="false" customHeight="false" outlineLevel="0" collapsed="false">
      <c r="A121" s="81"/>
    </row>
    <row r="122" customFormat="false" ht="12.75" hidden="false" customHeight="false" outlineLevel="0" collapsed="false">
      <c r="A122" s="81"/>
    </row>
    <row r="123" customFormat="false" ht="12.75" hidden="false" customHeight="false" outlineLevel="0" collapsed="false">
      <c r="A123" s="81"/>
    </row>
    <row r="124" customFormat="false" ht="12.75" hidden="false" customHeight="false" outlineLevel="0" collapsed="false">
      <c r="A124" s="81"/>
    </row>
    <row r="125" customFormat="false" ht="12.75" hidden="false" customHeight="false" outlineLevel="0" collapsed="false">
      <c r="A125" s="81"/>
    </row>
    <row r="126" customFormat="false" ht="12.75" hidden="false" customHeight="false" outlineLevel="0" collapsed="false">
      <c r="A126" s="81"/>
    </row>
    <row r="127" customFormat="false" ht="12.75" hidden="false" customHeight="false" outlineLevel="0" collapsed="false">
      <c r="A127" s="81"/>
    </row>
    <row r="128" customFormat="false" ht="12.75" hidden="false" customHeight="false" outlineLevel="0" collapsed="false">
      <c r="A128" s="81"/>
    </row>
    <row r="129" customFormat="false" ht="12.75" hidden="false" customHeight="false" outlineLevel="0" collapsed="false">
      <c r="A129" s="81"/>
    </row>
    <row r="130" customFormat="false" ht="12.75" hidden="false" customHeight="false" outlineLevel="0" collapsed="false">
      <c r="A130" s="81"/>
    </row>
    <row r="131" customFormat="false" ht="12.75" hidden="false" customHeight="false" outlineLevel="0" collapsed="false">
      <c r="A131" s="81"/>
    </row>
    <row r="132" customFormat="false" ht="12.75" hidden="false" customHeight="false" outlineLevel="0" collapsed="false">
      <c r="A132" s="81"/>
    </row>
    <row r="133" customFormat="false" ht="12.75" hidden="false" customHeight="false" outlineLevel="0" collapsed="false">
      <c r="A133" s="81"/>
    </row>
    <row r="134" customFormat="false" ht="12.75" hidden="false" customHeight="false" outlineLevel="0" collapsed="false">
      <c r="A134" s="81"/>
    </row>
    <row r="135" customFormat="false" ht="12.75" hidden="false" customHeight="false" outlineLevel="0" collapsed="false">
      <c r="A135" s="81"/>
    </row>
    <row r="136" customFormat="false" ht="12.75" hidden="false" customHeight="false" outlineLevel="0" collapsed="false">
      <c r="A136" s="81"/>
    </row>
    <row r="137" customFormat="false" ht="12.75" hidden="false" customHeight="false" outlineLevel="0" collapsed="false">
      <c r="A137" s="81"/>
    </row>
    <row r="138" customFormat="false" ht="12.75" hidden="false" customHeight="false" outlineLevel="0" collapsed="false">
      <c r="A138" s="81"/>
    </row>
    <row r="139" customFormat="false" ht="12.75" hidden="false" customHeight="false" outlineLevel="0" collapsed="false">
      <c r="A139" s="81"/>
    </row>
    <row r="140" customFormat="false" ht="12.75" hidden="false" customHeight="false" outlineLevel="0" collapsed="false">
      <c r="A140" s="81"/>
    </row>
    <row r="141" customFormat="false" ht="12.75" hidden="false" customHeight="false" outlineLevel="0" collapsed="false">
      <c r="A141" s="81"/>
    </row>
    <row r="142" customFormat="false" ht="12.75" hidden="false" customHeight="false" outlineLevel="0" collapsed="false">
      <c r="A142" s="81"/>
    </row>
    <row r="143" customFormat="false" ht="12.75" hidden="false" customHeight="false" outlineLevel="0" collapsed="false">
      <c r="A143" s="81"/>
    </row>
    <row r="144" customFormat="false" ht="12.75" hidden="false" customHeight="false" outlineLevel="0" collapsed="false">
      <c r="A144" s="81"/>
    </row>
    <row r="145" customFormat="false" ht="12.75" hidden="false" customHeight="false" outlineLevel="0" collapsed="false">
      <c r="A145" s="81"/>
    </row>
    <row r="146" customFormat="false" ht="12.75" hidden="false" customHeight="false" outlineLevel="0" collapsed="false">
      <c r="A146" s="81"/>
    </row>
    <row r="147" customFormat="false" ht="12.75" hidden="false" customHeight="false" outlineLevel="0" collapsed="false">
      <c r="A147" s="81"/>
    </row>
    <row r="148" customFormat="false" ht="12.75" hidden="false" customHeight="false" outlineLevel="0" collapsed="false">
      <c r="A148" s="81"/>
    </row>
    <row r="149" customFormat="false" ht="12.75" hidden="false" customHeight="false" outlineLevel="0" collapsed="false">
      <c r="A149" s="81"/>
    </row>
    <row r="150" customFormat="false" ht="12.75" hidden="false" customHeight="false" outlineLevel="0" collapsed="false">
      <c r="A150" s="81"/>
    </row>
    <row r="151" customFormat="false" ht="12.75" hidden="false" customHeight="false" outlineLevel="0" collapsed="false">
      <c r="A151" s="81"/>
    </row>
    <row r="152" customFormat="false" ht="12.75" hidden="false" customHeight="false" outlineLevel="0" collapsed="false">
      <c r="A152" s="81"/>
    </row>
    <row r="153" customFormat="false" ht="12.75" hidden="false" customHeight="false" outlineLevel="0" collapsed="false">
      <c r="A153" s="81"/>
    </row>
    <row r="154" customFormat="false" ht="12.75" hidden="false" customHeight="false" outlineLevel="0" collapsed="false">
      <c r="A154" s="81"/>
    </row>
    <row r="155" customFormat="false" ht="12.75" hidden="false" customHeight="false" outlineLevel="0" collapsed="false">
      <c r="A155" s="81"/>
    </row>
    <row r="156" customFormat="false" ht="12.75" hidden="false" customHeight="false" outlineLevel="0" collapsed="false">
      <c r="A156" s="81"/>
    </row>
    <row r="157" customFormat="false" ht="12.75" hidden="false" customHeight="false" outlineLevel="0" collapsed="false">
      <c r="A157" s="81"/>
    </row>
    <row r="158" customFormat="false" ht="12.75" hidden="false" customHeight="false" outlineLevel="0" collapsed="false">
      <c r="A158" s="81"/>
    </row>
    <row r="159" customFormat="false" ht="12.75" hidden="false" customHeight="false" outlineLevel="0" collapsed="false">
      <c r="A159" s="81"/>
    </row>
    <row r="160" customFormat="false" ht="12.75" hidden="false" customHeight="false" outlineLevel="0" collapsed="false">
      <c r="A160" s="81"/>
    </row>
    <row r="161" customFormat="false" ht="12.75" hidden="false" customHeight="false" outlineLevel="0" collapsed="false">
      <c r="A161" s="81"/>
    </row>
    <row r="162" customFormat="false" ht="12.75" hidden="false" customHeight="false" outlineLevel="0" collapsed="false">
      <c r="A162" s="81"/>
    </row>
    <row r="163" customFormat="false" ht="12.75" hidden="false" customHeight="false" outlineLevel="0" collapsed="false">
      <c r="A163" s="81"/>
    </row>
    <row r="164" customFormat="false" ht="12.75" hidden="false" customHeight="false" outlineLevel="0" collapsed="false">
      <c r="A164" s="81"/>
    </row>
    <row r="165" customFormat="false" ht="12.75" hidden="false" customHeight="false" outlineLevel="0" collapsed="false">
      <c r="A165" s="81"/>
    </row>
    <row r="166" customFormat="false" ht="12.75" hidden="false" customHeight="false" outlineLevel="0" collapsed="false">
      <c r="A166" s="81"/>
    </row>
    <row r="167" customFormat="false" ht="12.75" hidden="false" customHeight="false" outlineLevel="0" collapsed="false">
      <c r="A167" s="81"/>
    </row>
    <row r="168" customFormat="false" ht="12.75" hidden="false" customHeight="false" outlineLevel="0" collapsed="false">
      <c r="A168" s="81"/>
    </row>
    <row r="169" customFormat="false" ht="12.75" hidden="false" customHeight="false" outlineLevel="0" collapsed="false">
      <c r="A169" s="81"/>
    </row>
    <row r="170" customFormat="false" ht="12.75" hidden="false" customHeight="false" outlineLevel="0" collapsed="false">
      <c r="A170" s="81"/>
    </row>
    <row r="171" customFormat="false" ht="12.75" hidden="false" customHeight="false" outlineLevel="0" collapsed="false">
      <c r="A171" s="81"/>
    </row>
    <row r="172" customFormat="false" ht="12.75" hidden="false" customHeight="false" outlineLevel="0" collapsed="false">
      <c r="A172" s="81"/>
    </row>
    <row r="173" customFormat="false" ht="12.75" hidden="false" customHeight="false" outlineLevel="0" collapsed="false">
      <c r="A173" s="81"/>
    </row>
    <row r="174" customFormat="false" ht="12.75" hidden="false" customHeight="false" outlineLevel="0" collapsed="false">
      <c r="A174" s="81"/>
    </row>
    <row r="175" customFormat="false" ht="12.75" hidden="false" customHeight="false" outlineLevel="0" collapsed="false">
      <c r="A175" s="81"/>
    </row>
    <row r="176" customFormat="false" ht="12.75" hidden="false" customHeight="false" outlineLevel="0" collapsed="false">
      <c r="A176" s="81"/>
    </row>
    <row r="177" customFormat="false" ht="12.75" hidden="false" customHeight="false" outlineLevel="0" collapsed="false">
      <c r="A177" s="81"/>
    </row>
    <row r="178" customFormat="false" ht="12.75" hidden="false" customHeight="false" outlineLevel="0" collapsed="false">
      <c r="A178" s="81"/>
    </row>
    <row r="179" customFormat="false" ht="12.75" hidden="false" customHeight="false" outlineLevel="0" collapsed="false">
      <c r="A179" s="81"/>
    </row>
    <row r="180" customFormat="false" ht="12.75" hidden="false" customHeight="false" outlineLevel="0" collapsed="false">
      <c r="A180" s="81"/>
    </row>
    <row r="181" customFormat="false" ht="12.75" hidden="false" customHeight="false" outlineLevel="0" collapsed="false">
      <c r="A181" s="81"/>
    </row>
    <row r="182" customFormat="false" ht="12.75" hidden="false" customHeight="false" outlineLevel="0" collapsed="false">
      <c r="A182" s="81"/>
    </row>
    <row r="183" customFormat="false" ht="12.75" hidden="false" customHeight="false" outlineLevel="0" collapsed="false">
      <c r="A183" s="81"/>
    </row>
    <row r="184" customFormat="false" ht="12.75" hidden="false" customHeight="false" outlineLevel="0" collapsed="false">
      <c r="A184" s="81"/>
    </row>
    <row r="185" customFormat="false" ht="12.75" hidden="false" customHeight="false" outlineLevel="0" collapsed="false">
      <c r="A185" s="81"/>
    </row>
    <row r="186" customFormat="false" ht="12.75" hidden="false" customHeight="false" outlineLevel="0" collapsed="false">
      <c r="A186" s="81"/>
    </row>
    <row r="187" customFormat="false" ht="12.75" hidden="false" customHeight="false" outlineLevel="0" collapsed="false">
      <c r="A187" s="81"/>
    </row>
    <row r="188" customFormat="false" ht="12.75" hidden="false" customHeight="false" outlineLevel="0" collapsed="false">
      <c r="A188" s="81"/>
    </row>
    <row r="189" customFormat="false" ht="12.75" hidden="false" customHeight="false" outlineLevel="0" collapsed="false">
      <c r="A189" s="81"/>
    </row>
    <row r="190" customFormat="false" ht="12.75" hidden="false" customHeight="false" outlineLevel="0" collapsed="false">
      <c r="A190" s="81"/>
    </row>
    <row r="191" customFormat="false" ht="12.75" hidden="false" customHeight="false" outlineLevel="0" collapsed="false">
      <c r="A191" s="81"/>
    </row>
    <row r="192" customFormat="false" ht="12.75" hidden="false" customHeight="false" outlineLevel="0" collapsed="false">
      <c r="A192" s="81"/>
    </row>
    <row r="193" customFormat="false" ht="12.75" hidden="false" customHeight="false" outlineLevel="0" collapsed="false">
      <c r="A193" s="81"/>
    </row>
    <row r="194" customFormat="false" ht="12.75" hidden="false" customHeight="false" outlineLevel="0" collapsed="false">
      <c r="A194" s="81"/>
    </row>
    <row r="195" customFormat="false" ht="12.75" hidden="false" customHeight="false" outlineLevel="0" collapsed="false">
      <c r="A195" s="81"/>
    </row>
    <row r="196" customFormat="false" ht="12.75" hidden="false" customHeight="false" outlineLevel="0" collapsed="false">
      <c r="A196" s="81"/>
    </row>
    <row r="197" customFormat="false" ht="12.75" hidden="false" customHeight="false" outlineLevel="0" collapsed="false">
      <c r="A197" s="81"/>
    </row>
    <row r="198" customFormat="false" ht="12.75" hidden="false" customHeight="false" outlineLevel="0" collapsed="false">
      <c r="A198" s="81"/>
    </row>
    <row r="199" customFormat="false" ht="12.75" hidden="false" customHeight="false" outlineLevel="0" collapsed="false">
      <c r="A199" s="81"/>
    </row>
    <row r="200" customFormat="false" ht="12.75" hidden="false" customHeight="false" outlineLevel="0" collapsed="false">
      <c r="A200" s="81"/>
    </row>
    <row r="201" customFormat="false" ht="12.75" hidden="false" customHeight="false" outlineLevel="0" collapsed="false">
      <c r="A201" s="81"/>
    </row>
    <row r="202" customFormat="false" ht="12.75" hidden="false" customHeight="false" outlineLevel="0" collapsed="false">
      <c r="A202" s="81"/>
    </row>
    <row r="203" customFormat="false" ht="12.75" hidden="false" customHeight="false" outlineLevel="0" collapsed="false">
      <c r="A203" s="81"/>
    </row>
    <row r="204" customFormat="false" ht="12.75" hidden="false" customHeight="false" outlineLevel="0" collapsed="false">
      <c r="A204" s="81"/>
    </row>
    <row r="205" customFormat="false" ht="12.75" hidden="false" customHeight="false" outlineLevel="0" collapsed="false">
      <c r="A205" s="81"/>
    </row>
    <row r="206" customFormat="false" ht="12.75" hidden="false" customHeight="false" outlineLevel="0" collapsed="false">
      <c r="A206" s="81"/>
    </row>
    <row r="207" customFormat="false" ht="12.75" hidden="false" customHeight="false" outlineLevel="0" collapsed="false">
      <c r="A207" s="81"/>
    </row>
    <row r="208" customFormat="false" ht="12.75" hidden="false" customHeight="false" outlineLevel="0" collapsed="false">
      <c r="A208" s="81"/>
    </row>
    <row r="209" customFormat="false" ht="12.75" hidden="false" customHeight="false" outlineLevel="0" collapsed="false">
      <c r="A209" s="81"/>
    </row>
    <row r="210" customFormat="false" ht="12.75" hidden="false" customHeight="false" outlineLevel="0" collapsed="false">
      <c r="A210" s="81"/>
    </row>
    <row r="211" customFormat="false" ht="12.75" hidden="false" customHeight="false" outlineLevel="0" collapsed="false">
      <c r="A211" s="81"/>
    </row>
    <row r="212" customFormat="false" ht="12.75" hidden="false" customHeight="false" outlineLevel="0" collapsed="false">
      <c r="A212" s="81"/>
    </row>
    <row r="213" customFormat="false" ht="12.75" hidden="false" customHeight="false" outlineLevel="0" collapsed="false">
      <c r="A213" s="81"/>
    </row>
    <row r="214" customFormat="false" ht="12.75" hidden="false" customHeight="false" outlineLevel="0" collapsed="false">
      <c r="A214" s="81"/>
    </row>
    <row r="215" customFormat="false" ht="12.75" hidden="false" customHeight="false" outlineLevel="0" collapsed="false">
      <c r="A215" s="81"/>
    </row>
    <row r="216" customFormat="false" ht="12.75" hidden="false" customHeight="false" outlineLevel="0" collapsed="false">
      <c r="A216" s="81"/>
    </row>
    <row r="217" customFormat="false" ht="12.75" hidden="false" customHeight="false" outlineLevel="0" collapsed="false">
      <c r="A217" s="81"/>
    </row>
    <row r="218" customFormat="false" ht="12.75" hidden="false" customHeight="false" outlineLevel="0" collapsed="false">
      <c r="A218" s="81"/>
    </row>
    <row r="219" customFormat="false" ht="12.75" hidden="false" customHeight="false" outlineLevel="0" collapsed="false">
      <c r="A219" s="81"/>
    </row>
    <row r="220" customFormat="false" ht="12.75" hidden="false" customHeight="false" outlineLevel="0" collapsed="false">
      <c r="A220" s="81"/>
    </row>
    <row r="221" customFormat="false" ht="12.75" hidden="false" customHeight="false" outlineLevel="0" collapsed="false">
      <c r="A221" s="81"/>
    </row>
    <row r="222" customFormat="false" ht="12.75" hidden="false" customHeight="false" outlineLevel="0" collapsed="false">
      <c r="A222" s="81"/>
    </row>
    <row r="223" customFormat="false" ht="12.75" hidden="false" customHeight="false" outlineLevel="0" collapsed="false">
      <c r="A223" s="81"/>
    </row>
    <row r="224" customFormat="false" ht="12.75" hidden="false" customHeight="false" outlineLevel="0" collapsed="false">
      <c r="A224" s="81"/>
    </row>
    <row r="225" customFormat="false" ht="12.75" hidden="false" customHeight="false" outlineLevel="0" collapsed="false">
      <c r="A225" s="81"/>
    </row>
    <row r="226" customFormat="false" ht="12.75" hidden="false" customHeight="false" outlineLevel="0" collapsed="false">
      <c r="A226" s="81"/>
    </row>
    <row r="227" customFormat="false" ht="12.75" hidden="false" customHeight="false" outlineLevel="0" collapsed="false">
      <c r="A227" s="81"/>
    </row>
    <row r="228" customFormat="false" ht="12.75" hidden="false" customHeight="false" outlineLevel="0" collapsed="false">
      <c r="A228" s="81"/>
    </row>
    <row r="229" customFormat="false" ht="12.75" hidden="false" customHeight="false" outlineLevel="0" collapsed="false">
      <c r="A229" s="81"/>
    </row>
    <row r="230" customFormat="false" ht="12.75" hidden="false" customHeight="false" outlineLevel="0" collapsed="false">
      <c r="A230" s="81"/>
    </row>
    <row r="231" customFormat="false" ht="12.75" hidden="false" customHeight="false" outlineLevel="0" collapsed="false">
      <c r="A231" s="81"/>
    </row>
    <row r="232" customFormat="false" ht="12.75" hidden="false" customHeight="false" outlineLevel="0" collapsed="false">
      <c r="A232" s="81"/>
    </row>
    <row r="233" customFormat="false" ht="12.75" hidden="false" customHeight="false" outlineLevel="0" collapsed="false">
      <c r="A233" s="81"/>
    </row>
    <row r="234" customFormat="false" ht="12.75" hidden="false" customHeight="false" outlineLevel="0" collapsed="false">
      <c r="A234" s="81"/>
    </row>
    <row r="235" customFormat="false" ht="12.75" hidden="false" customHeight="false" outlineLevel="0" collapsed="false">
      <c r="A235" s="81"/>
    </row>
    <row r="236" customFormat="false" ht="12.75" hidden="false" customHeight="false" outlineLevel="0" collapsed="false">
      <c r="A236" s="81"/>
    </row>
    <row r="237" customFormat="false" ht="12.75" hidden="false" customHeight="false" outlineLevel="0" collapsed="false">
      <c r="A237" s="81"/>
    </row>
    <row r="238" customFormat="false" ht="12.75" hidden="false" customHeight="false" outlineLevel="0" collapsed="false">
      <c r="A238" s="81"/>
    </row>
    <row r="239" customFormat="false" ht="12.75" hidden="false" customHeight="false" outlineLevel="0" collapsed="false">
      <c r="A239" s="81"/>
    </row>
    <row r="240" customFormat="false" ht="12.75" hidden="false" customHeight="false" outlineLevel="0" collapsed="false">
      <c r="A240" s="81"/>
    </row>
    <row r="241" customFormat="false" ht="12.75" hidden="false" customHeight="false" outlineLevel="0" collapsed="false">
      <c r="A241" s="81"/>
    </row>
    <row r="242" customFormat="false" ht="12.75" hidden="false" customHeight="false" outlineLevel="0" collapsed="false">
      <c r="A242" s="81"/>
    </row>
    <row r="243" customFormat="false" ht="12.75" hidden="false" customHeight="false" outlineLevel="0" collapsed="false">
      <c r="A243" s="81"/>
    </row>
    <row r="244" customFormat="false" ht="12.75" hidden="false" customHeight="false" outlineLevel="0" collapsed="false">
      <c r="A244" s="81"/>
    </row>
    <row r="245" customFormat="false" ht="12.75" hidden="false" customHeight="false" outlineLevel="0" collapsed="false">
      <c r="A245" s="81"/>
    </row>
    <row r="246" customFormat="false" ht="12.75" hidden="false" customHeight="false" outlineLevel="0" collapsed="false">
      <c r="A246" s="81"/>
    </row>
    <row r="247" customFormat="false" ht="12.75" hidden="false" customHeight="false" outlineLevel="0" collapsed="false">
      <c r="A247" s="81"/>
    </row>
    <row r="248" customFormat="false" ht="12.75" hidden="false" customHeight="false" outlineLevel="0" collapsed="false">
      <c r="A248" s="81"/>
    </row>
    <row r="249" customFormat="false" ht="12.75" hidden="false" customHeight="false" outlineLevel="0" collapsed="false">
      <c r="A249" s="81"/>
    </row>
    <row r="250" customFormat="false" ht="12.75" hidden="false" customHeight="false" outlineLevel="0" collapsed="false">
      <c r="A250" s="81"/>
    </row>
    <row r="251" customFormat="false" ht="12.75" hidden="false" customHeight="false" outlineLevel="0" collapsed="false">
      <c r="A251" s="81"/>
    </row>
    <row r="252" customFormat="false" ht="12.75" hidden="false" customHeight="false" outlineLevel="0" collapsed="false">
      <c r="A252" s="81"/>
    </row>
    <row r="253" customFormat="false" ht="12.75" hidden="false" customHeight="false" outlineLevel="0" collapsed="false">
      <c r="A253" s="81"/>
    </row>
    <row r="254" customFormat="false" ht="12.75" hidden="false" customHeight="false" outlineLevel="0" collapsed="false">
      <c r="A254" s="81"/>
    </row>
    <row r="255" customFormat="false" ht="12.75" hidden="false" customHeight="false" outlineLevel="0" collapsed="false">
      <c r="A255" s="81"/>
    </row>
    <row r="256" customFormat="false" ht="12.75" hidden="false" customHeight="false" outlineLevel="0" collapsed="false">
      <c r="A256" s="81"/>
    </row>
    <row r="257" customFormat="false" ht="12.75" hidden="false" customHeight="false" outlineLevel="0" collapsed="false">
      <c r="A257" s="81"/>
    </row>
    <row r="258" customFormat="false" ht="12.75" hidden="false" customHeight="false" outlineLevel="0" collapsed="false">
      <c r="A258" s="81"/>
    </row>
    <row r="259" customFormat="false" ht="12.75" hidden="false" customHeight="false" outlineLevel="0" collapsed="false">
      <c r="A259" s="81"/>
    </row>
    <row r="260" customFormat="false" ht="12.75" hidden="false" customHeight="false" outlineLevel="0" collapsed="false">
      <c r="A260" s="81"/>
    </row>
    <row r="261" customFormat="false" ht="12.75" hidden="false" customHeight="false" outlineLevel="0" collapsed="false">
      <c r="A261" s="81"/>
    </row>
    <row r="262" customFormat="false" ht="12.75" hidden="false" customHeight="false" outlineLevel="0" collapsed="false">
      <c r="A262" s="81"/>
    </row>
    <row r="263" customFormat="false" ht="12.75" hidden="false" customHeight="false" outlineLevel="0" collapsed="false">
      <c r="A263" s="81"/>
    </row>
    <row r="264" customFormat="false" ht="12.75" hidden="false" customHeight="false" outlineLevel="0" collapsed="false">
      <c r="A264" s="81"/>
    </row>
    <row r="265" customFormat="false" ht="12.75" hidden="false" customHeight="false" outlineLevel="0" collapsed="false">
      <c r="A265" s="81"/>
    </row>
    <row r="266" customFormat="false" ht="12.75" hidden="false" customHeight="false" outlineLevel="0" collapsed="false">
      <c r="A266" s="81"/>
    </row>
    <row r="267" customFormat="false" ht="12.75" hidden="false" customHeight="false" outlineLevel="0" collapsed="false">
      <c r="A267" s="81"/>
    </row>
    <row r="268" customFormat="false" ht="12.75" hidden="false" customHeight="false" outlineLevel="0" collapsed="false">
      <c r="A268" s="81"/>
    </row>
    <row r="269" customFormat="false" ht="12.75" hidden="false" customHeight="false" outlineLevel="0" collapsed="false">
      <c r="A269" s="81"/>
    </row>
    <row r="270" customFormat="false" ht="12.75" hidden="false" customHeight="false" outlineLevel="0" collapsed="false">
      <c r="A270" s="81"/>
    </row>
    <row r="271" customFormat="false" ht="12.75" hidden="false" customHeight="false" outlineLevel="0" collapsed="false">
      <c r="A271" s="81"/>
    </row>
    <row r="272" customFormat="false" ht="12.75" hidden="false" customHeight="false" outlineLevel="0" collapsed="false">
      <c r="A272" s="81"/>
    </row>
    <row r="273" customFormat="false" ht="12.75" hidden="false" customHeight="false" outlineLevel="0" collapsed="false">
      <c r="A273" s="81"/>
    </row>
    <row r="274" customFormat="false" ht="12.75" hidden="false" customHeight="false" outlineLevel="0" collapsed="false">
      <c r="A274" s="81"/>
    </row>
    <row r="275" customFormat="false" ht="12.75" hidden="false" customHeight="false" outlineLevel="0" collapsed="false">
      <c r="A275" s="81"/>
    </row>
    <row r="276" customFormat="false" ht="12.75" hidden="false" customHeight="false" outlineLevel="0" collapsed="false">
      <c r="A276" s="81"/>
    </row>
    <row r="277" customFormat="false" ht="12.75" hidden="false" customHeight="false" outlineLevel="0" collapsed="false">
      <c r="A277" s="81"/>
    </row>
    <row r="278" customFormat="false" ht="12.75" hidden="false" customHeight="false" outlineLevel="0" collapsed="false">
      <c r="A278" s="81"/>
    </row>
    <row r="279" customFormat="false" ht="12.75" hidden="false" customHeight="false" outlineLevel="0" collapsed="false">
      <c r="A279" s="81"/>
    </row>
    <row r="280" customFormat="false" ht="12.75" hidden="false" customHeight="false" outlineLevel="0" collapsed="false">
      <c r="A280" s="81"/>
    </row>
    <row r="281" customFormat="false" ht="12.75" hidden="false" customHeight="false" outlineLevel="0" collapsed="false">
      <c r="A281" s="81"/>
    </row>
    <row r="282" customFormat="false" ht="12.75" hidden="false" customHeight="false" outlineLevel="0" collapsed="false">
      <c r="A282" s="81"/>
    </row>
    <row r="283" customFormat="false" ht="12.75" hidden="false" customHeight="false" outlineLevel="0" collapsed="false">
      <c r="A283" s="81"/>
    </row>
    <row r="284" customFormat="false" ht="12.75" hidden="false" customHeight="false" outlineLevel="0" collapsed="false">
      <c r="A284" s="81"/>
    </row>
    <row r="285" customFormat="false" ht="12.75" hidden="false" customHeight="false" outlineLevel="0" collapsed="false">
      <c r="A285" s="81"/>
    </row>
    <row r="286" customFormat="false" ht="12.75" hidden="false" customHeight="false" outlineLevel="0" collapsed="false">
      <c r="A286" s="81"/>
    </row>
    <row r="287" customFormat="false" ht="12.75" hidden="false" customHeight="false" outlineLevel="0" collapsed="false">
      <c r="A287" s="81"/>
    </row>
    <row r="288" customFormat="false" ht="12.75" hidden="false" customHeight="false" outlineLevel="0" collapsed="false">
      <c r="A288" s="81"/>
    </row>
    <row r="289" customFormat="false" ht="12.75" hidden="false" customHeight="false" outlineLevel="0" collapsed="false">
      <c r="A289" s="81"/>
    </row>
    <row r="290" customFormat="false" ht="12.75" hidden="false" customHeight="false" outlineLevel="0" collapsed="false">
      <c r="A290" s="81"/>
    </row>
    <row r="291" customFormat="false" ht="12.75" hidden="false" customHeight="false" outlineLevel="0" collapsed="false">
      <c r="A291" s="81"/>
    </row>
    <row r="292" customFormat="false" ht="12.75" hidden="false" customHeight="false" outlineLevel="0" collapsed="false">
      <c r="A292" s="81"/>
    </row>
    <row r="293" customFormat="false" ht="12.75" hidden="false" customHeight="false" outlineLevel="0" collapsed="false">
      <c r="A293" s="81"/>
    </row>
    <row r="294" customFormat="false" ht="12.75" hidden="false" customHeight="false" outlineLevel="0" collapsed="false">
      <c r="A294" s="81"/>
    </row>
    <row r="295" customFormat="false" ht="12.75" hidden="false" customHeight="false" outlineLevel="0" collapsed="false">
      <c r="A295" s="81"/>
    </row>
    <row r="296" customFormat="false" ht="12.75" hidden="false" customHeight="false" outlineLevel="0" collapsed="false">
      <c r="A296" s="81"/>
    </row>
    <row r="297" customFormat="false" ht="12.75" hidden="false" customHeight="false" outlineLevel="0" collapsed="false">
      <c r="A297" s="81"/>
    </row>
    <row r="298" customFormat="false" ht="12.75" hidden="false" customHeight="false" outlineLevel="0" collapsed="false">
      <c r="A298" s="81"/>
    </row>
    <row r="299" customFormat="false" ht="12.75" hidden="false" customHeight="false" outlineLevel="0" collapsed="false">
      <c r="A299" s="81"/>
    </row>
    <row r="300" customFormat="false" ht="12.75" hidden="false" customHeight="false" outlineLevel="0" collapsed="false">
      <c r="A300" s="81"/>
    </row>
    <row r="301" customFormat="false" ht="12.75" hidden="false" customHeight="false" outlineLevel="0" collapsed="false">
      <c r="A301" s="81"/>
    </row>
    <row r="302" customFormat="false" ht="12.75" hidden="false" customHeight="false" outlineLevel="0" collapsed="false">
      <c r="A302" s="81"/>
    </row>
    <row r="303" customFormat="false" ht="12.75" hidden="false" customHeight="false" outlineLevel="0" collapsed="false">
      <c r="A303" s="81"/>
    </row>
    <row r="304" customFormat="false" ht="12.75" hidden="false" customHeight="false" outlineLevel="0" collapsed="false">
      <c r="A304" s="81"/>
    </row>
    <row r="305" customFormat="false" ht="12.75" hidden="false" customHeight="false" outlineLevel="0" collapsed="false">
      <c r="A305" s="81"/>
    </row>
    <row r="306" customFormat="false" ht="12.75" hidden="false" customHeight="false" outlineLevel="0" collapsed="false">
      <c r="A306" s="81"/>
    </row>
    <row r="307" customFormat="false" ht="12.75" hidden="false" customHeight="false" outlineLevel="0" collapsed="false">
      <c r="A307" s="81"/>
    </row>
    <row r="308" customFormat="false" ht="12.75" hidden="false" customHeight="false" outlineLevel="0" collapsed="false">
      <c r="A308" s="81"/>
    </row>
    <row r="309" customFormat="false" ht="12.75" hidden="false" customHeight="false" outlineLevel="0" collapsed="false">
      <c r="A309" s="81"/>
    </row>
    <row r="310" customFormat="false" ht="12.75" hidden="false" customHeight="false" outlineLevel="0" collapsed="false">
      <c r="A310" s="81"/>
    </row>
    <row r="311" customFormat="false" ht="12.75" hidden="false" customHeight="false" outlineLevel="0" collapsed="false">
      <c r="A311" s="81"/>
    </row>
    <row r="312" customFormat="false" ht="12.75" hidden="false" customHeight="false" outlineLevel="0" collapsed="false">
      <c r="A312" s="81"/>
    </row>
    <row r="313" customFormat="false" ht="12.75" hidden="false" customHeight="false" outlineLevel="0" collapsed="false">
      <c r="A313" s="81"/>
    </row>
    <row r="314" customFormat="false" ht="12.75" hidden="false" customHeight="false" outlineLevel="0" collapsed="false">
      <c r="A314" s="81"/>
    </row>
    <row r="315" customFormat="false" ht="12.75" hidden="false" customHeight="false" outlineLevel="0" collapsed="false">
      <c r="A315" s="81"/>
    </row>
    <row r="316" customFormat="false" ht="12.75" hidden="false" customHeight="false" outlineLevel="0" collapsed="false">
      <c r="A316" s="81"/>
    </row>
    <row r="317" customFormat="false" ht="12.75" hidden="false" customHeight="false" outlineLevel="0" collapsed="false">
      <c r="A317" s="81"/>
    </row>
    <row r="318" customFormat="false" ht="12.75" hidden="false" customHeight="false" outlineLevel="0" collapsed="false">
      <c r="A318" s="81"/>
    </row>
    <row r="319" customFormat="false" ht="12.75" hidden="false" customHeight="false" outlineLevel="0" collapsed="false">
      <c r="A319" s="81"/>
    </row>
    <row r="320" customFormat="false" ht="12.75" hidden="false" customHeight="false" outlineLevel="0" collapsed="false">
      <c r="A320" s="81"/>
    </row>
    <row r="321" customFormat="false" ht="12.75" hidden="false" customHeight="false" outlineLevel="0" collapsed="false">
      <c r="A321" s="81"/>
    </row>
    <row r="322" customFormat="false" ht="12.75" hidden="false" customHeight="false" outlineLevel="0" collapsed="false">
      <c r="A322" s="81"/>
    </row>
    <row r="323" customFormat="false" ht="12.75" hidden="false" customHeight="false" outlineLevel="0" collapsed="false">
      <c r="A323" s="81"/>
    </row>
    <row r="324" customFormat="false" ht="12.75" hidden="false" customHeight="false" outlineLevel="0" collapsed="false">
      <c r="A324" s="81"/>
    </row>
    <row r="325" customFormat="false" ht="12.75" hidden="false" customHeight="false" outlineLevel="0" collapsed="false">
      <c r="A325" s="81"/>
    </row>
    <row r="326" customFormat="false" ht="12.75" hidden="false" customHeight="false" outlineLevel="0" collapsed="false">
      <c r="A326" s="81"/>
    </row>
  </sheetData>
  <mergeCells count="1">
    <mergeCell ref="A20:E20"/>
  </mergeCells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B1:H33"/>
  <sheetViews>
    <sheetView showFormulas="false" showGridLines="true" showRowColHeaders="true" showZeros="true" rightToLeft="false" tabSelected="false" showOutlineSymbols="true" defaultGridColor="true" view="normal" topLeftCell="A15" colorId="64" zoomScale="100" zoomScaleNormal="100" zoomScalePageLayoutView="100" workbookViewId="0">
      <selection pane="topLeft" activeCell="E25" activeCellId="0" sqref="E25"/>
    </sheetView>
  </sheetViews>
  <sheetFormatPr defaultColWidth="10.6875" defaultRowHeight="12.75" zeroHeight="false" outlineLevelRow="0" outlineLevelCol="0"/>
  <cols>
    <col collapsed="false" customWidth="true" hidden="false" outlineLevel="0" max="2" min="2" style="0" width="19.85"/>
    <col collapsed="false" customWidth="true" hidden="false" outlineLevel="0" max="3" min="3" style="0" width="15.57"/>
    <col collapsed="false" customWidth="true" hidden="false" outlineLevel="0" max="4" min="4" style="95" width="17.42"/>
    <col collapsed="false" customWidth="true" hidden="false" outlineLevel="0" max="5" min="5" style="0" width="15"/>
  </cols>
  <sheetData>
    <row r="1" customFormat="false" ht="15" hidden="false" customHeight="false" outlineLevel="0" collapsed="false">
      <c r="B1" s="54" t="s">
        <v>0</v>
      </c>
      <c r="C1" s="25"/>
      <c r="D1" s="96"/>
      <c r="E1" s="60" t="s">
        <v>33</v>
      </c>
    </row>
    <row r="2" customFormat="false" ht="14.25" hidden="false" customHeight="false" outlineLevel="0" collapsed="false">
      <c r="B2" s="61"/>
      <c r="C2" s="25"/>
      <c r="D2" s="96"/>
      <c r="E2" s="25"/>
    </row>
    <row r="3" customFormat="false" ht="15" hidden="false" customHeight="false" outlineLevel="0" collapsed="false">
      <c r="B3" s="54" t="s">
        <v>1</v>
      </c>
      <c r="C3" s="25"/>
      <c r="D3" s="96"/>
      <c r="E3" s="25"/>
    </row>
    <row r="4" customFormat="false" ht="14.25" hidden="false" customHeight="false" outlineLevel="0" collapsed="false">
      <c r="B4" s="61"/>
      <c r="C4" s="25"/>
      <c r="D4" s="96"/>
      <c r="E4" s="25"/>
    </row>
    <row r="5" customFormat="false" ht="15" hidden="false" customHeight="false" outlineLevel="0" collapsed="false">
      <c r="B5" s="54" t="s">
        <v>2</v>
      </c>
      <c r="C5" s="28" t="s">
        <v>11</v>
      </c>
      <c r="D5" s="97" t="s">
        <v>5</v>
      </c>
      <c r="E5" s="25"/>
    </row>
    <row r="6" customFormat="false" ht="12.75" hidden="false" customHeight="false" outlineLevel="0" collapsed="false">
      <c r="B6" s="81" t="n">
        <v>42373</v>
      </c>
      <c r="C6" s="70" t="n">
        <v>60786</v>
      </c>
      <c r="D6" s="95" t="n">
        <v>18.46</v>
      </c>
    </row>
    <row r="7" customFormat="false" ht="12.75" hidden="false" customHeight="false" outlineLevel="0" collapsed="false">
      <c r="B7" s="81" t="n">
        <v>42376</v>
      </c>
      <c r="C7" s="70" t="n">
        <v>278000</v>
      </c>
      <c r="D7" s="95" t="n">
        <v>19</v>
      </c>
    </row>
    <row r="8" customFormat="false" ht="12.75" hidden="false" customHeight="false" outlineLevel="0" collapsed="false">
      <c r="B8" s="81" t="n">
        <v>42380</v>
      </c>
      <c r="C8" s="70" t="n">
        <v>1000</v>
      </c>
      <c r="D8" s="95" t="n">
        <v>18.65</v>
      </c>
    </row>
    <row r="9" customFormat="false" ht="12.75" hidden="false" customHeight="false" outlineLevel="0" collapsed="false">
      <c r="B9" s="81" t="n">
        <v>42382</v>
      </c>
      <c r="C9" s="70" t="n">
        <v>207000</v>
      </c>
      <c r="D9" s="95" t="n">
        <v>18.75</v>
      </c>
    </row>
    <row r="10" customFormat="false" ht="12.75" hidden="false" customHeight="false" outlineLevel="0" collapsed="false">
      <c r="B10" s="81" t="n">
        <v>42408</v>
      </c>
      <c r="C10" s="70" t="n">
        <v>187945</v>
      </c>
      <c r="D10" s="95" t="n">
        <v>18.4</v>
      </c>
    </row>
    <row r="11" customFormat="false" ht="12.75" hidden="false" customHeight="false" outlineLevel="0" collapsed="false">
      <c r="B11" s="81" t="n">
        <v>42415</v>
      </c>
      <c r="C11" s="70" t="n">
        <v>250000</v>
      </c>
      <c r="D11" s="95" t="n">
        <v>18.45</v>
      </c>
    </row>
    <row r="12" customFormat="false" ht="12.75" hidden="false" customHeight="false" outlineLevel="0" collapsed="false">
      <c r="B12" s="81" t="n">
        <v>42417</v>
      </c>
      <c r="C12" s="70" t="n">
        <v>100000</v>
      </c>
      <c r="D12" s="95" t="n">
        <v>18.38</v>
      </c>
    </row>
    <row r="13" customFormat="false" ht="12.75" hidden="false" customHeight="false" outlineLevel="0" collapsed="false">
      <c r="B13" s="81" t="n">
        <v>42432</v>
      </c>
      <c r="C13" s="70" t="n">
        <v>10837</v>
      </c>
      <c r="D13" s="95" t="n">
        <v>18</v>
      </c>
    </row>
    <row r="14" customFormat="false" ht="12.75" hidden="false" customHeight="false" outlineLevel="0" collapsed="false">
      <c r="B14" s="81" t="n">
        <v>42450</v>
      </c>
      <c r="C14" s="70" t="n">
        <v>40000</v>
      </c>
      <c r="D14" s="95" t="n">
        <v>18.2</v>
      </c>
    </row>
    <row r="15" customFormat="false" ht="12.75" hidden="false" customHeight="false" outlineLevel="0" collapsed="false">
      <c r="B15" s="81" t="n">
        <v>42457</v>
      </c>
      <c r="C15" s="70" t="n">
        <v>23392</v>
      </c>
      <c r="D15" s="95" t="n">
        <v>18.2</v>
      </c>
    </row>
    <row r="16" customFormat="false" ht="12.75" hidden="false" customHeight="false" outlineLevel="0" collapsed="false">
      <c r="B16" s="81" t="n">
        <v>42467</v>
      </c>
      <c r="C16" s="70" t="n">
        <v>1785192</v>
      </c>
      <c r="D16" s="95" t="n">
        <v>18.57</v>
      </c>
    </row>
    <row r="17" customFormat="false" ht="12.75" hidden="false" customHeight="false" outlineLevel="0" collapsed="false">
      <c r="B17" s="81" t="n">
        <v>42475</v>
      </c>
      <c r="C17" s="70" t="n">
        <v>285998</v>
      </c>
      <c r="D17" s="95" t="n">
        <v>18.35</v>
      </c>
    </row>
    <row r="18" customFormat="false" ht="12.75" hidden="false" customHeight="false" outlineLevel="0" collapsed="false">
      <c r="B18" s="81" t="n">
        <v>42522</v>
      </c>
      <c r="C18" s="70" t="n">
        <v>791216</v>
      </c>
      <c r="D18" s="95" t="n">
        <v>18.2</v>
      </c>
      <c r="E18" s="98" t="n">
        <f aca="false">+C18*D18</f>
        <v>14400131.2</v>
      </c>
    </row>
    <row r="19" customFormat="false" ht="12.75" hidden="false" customHeight="false" outlineLevel="0" collapsed="false">
      <c r="B19" s="81" t="n">
        <v>42524</v>
      </c>
      <c r="C19" s="70" t="n">
        <v>3379774</v>
      </c>
      <c r="D19" s="95" t="n">
        <v>18.45</v>
      </c>
      <c r="E19" s="98" t="n">
        <f aca="false">+C19*D19</f>
        <v>62356830.3</v>
      </c>
    </row>
    <row r="20" customFormat="false" ht="12.75" hidden="false" customHeight="false" outlineLevel="0" collapsed="false">
      <c r="B20" s="81" t="n">
        <v>42531</v>
      </c>
      <c r="C20" s="70" t="n">
        <v>2235226</v>
      </c>
      <c r="D20" s="95" t="n">
        <v>18.45</v>
      </c>
      <c r="E20" s="98" t="n">
        <f aca="false">+C20*D20</f>
        <v>41239919.7</v>
      </c>
    </row>
    <row r="21" customFormat="false" ht="12.75" hidden="false" customHeight="false" outlineLevel="0" collapsed="false">
      <c r="B21" s="81" t="n">
        <v>42534</v>
      </c>
      <c r="C21" s="70" t="n">
        <v>2500000</v>
      </c>
      <c r="D21" s="95" t="n">
        <v>18.34</v>
      </c>
      <c r="E21" s="98" t="n">
        <f aca="false">+C21*D21</f>
        <v>45850000</v>
      </c>
    </row>
    <row r="22" customFormat="false" ht="12.75" hidden="false" customHeight="false" outlineLevel="0" collapsed="false">
      <c r="B22" s="81" t="n">
        <v>42535</v>
      </c>
      <c r="C22" s="70" t="n">
        <v>7859829</v>
      </c>
      <c r="D22" s="95" t="n">
        <v>18.3</v>
      </c>
      <c r="E22" s="98" t="n">
        <f aca="false">+C22*D22</f>
        <v>143834870.7</v>
      </c>
    </row>
    <row r="23" customFormat="false" ht="12.75" hidden="false" customHeight="false" outlineLevel="0" collapsed="false">
      <c r="B23" s="81" t="n">
        <v>42536</v>
      </c>
      <c r="C23" s="70" t="n">
        <v>1460000</v>
      </c>
      <c r="D23" s="95" t="n">
        <v>18.3</v>
      </c>
      <c r="E23" s="98" t="n">
        <f aca="false">+C23*D23</f>
        <v>26718000</v>
      </c>
    </row>
    <row r="24" customFormat="false" ht="12.75" hidden="false" customHeight="false" outlineLevel="0" collapsed="false">
      <c r="B24" s="81" t="n">
        <v>42544</v>
      </c>
      <c r="C24" s="70" t="n">
        <v>1219943</v>
      </c>
      <c r="D24" s="95" t="n">
        <v>18.17</v>
      </c>
      <c r="E24" s="98" t="n">
        <f aca="false">+C24*D24</f>
        <v>22166364.31</v>
      </c>
    </row>
    <row r="25" customFormat="false" ht="13.5" hidden="false" customHeight="false" outlineLevel="0" collapsed="false">
      <c r="B25" s="81" t="n">
        <v>42545</v>
      </c>
      <c r="C25" s="70" t="n">
        <v>1219943</v>
      </c>
      <c r="D25" s="95" t="n">
        <v>18</v>
      </c>
      <c r="E25" s="98" t="n">
        <f aca="false">+C25*D25</f>
        <v>21958974</v>
      </c>
    </row>
    <row r="26" customFormat="false" ht="12.75" hidden="false" customHeight="false" outlineLevel="0" collapsed="false">
      <c r="B26" s="81" t="n">
        <v>42551</v>
      </c>
      <c r="C26" s="70" t="n">
        <v>1282002</v>
      </c>
      <c r="D26" s="95" t="n">
        <v>18</v>
      </c>
      <c r="E26" s="98" t="n">
        <f aca="false">+C26*D26</f>
        <v>23076036</v>
      </c>
      <c r="G26" s="99" t="s">
        <v>34</v>
      </c>
      <c r="H26" s="100"/>
    </row>
    <row r="27" customFormat="false" ht="13.5" hidden="false" customHeight="false" outlineLevel="0" collapsed="false">
      <c r="B27" s="81" t="n">
        <v>42559</v>
      </c>
      <c r="C27" s="70" t="n">
        <v>3000000</v>
      </c>
      <c r="D27" s="95" t="n">
        <v>18</v>
      </c>
      <c r="E27" s="98" t="n">
        <f aca="false">+C27*D27</f>
        <v>54000000</v>
      </c>
      <c r="G27" s="101" t="s">
        <v>0</v>
      </c>
      <c r="H27" s="102"/>
    </row>
    <row r="28" customFormat="false" ht="13.5" hidden="false" customHeight="false" outlineLevel="0" collapsed="false">
      <c r="B28" s="81" t="n">
        <v>42629</v>
      </c>
      <c r="C28" s="71" t="n">
        <v>32488290</v>
      </c>
      <c r="D28" s="95" t="n">
        <v>17</v>
      </c>
      <c r="E28" s="98" t="n">
        <f aca="false">+C28*D28</f>
        <v>552300930</v>
      </c>
    </row>
    <row r="29" customFormat="false" ht="12.75" hidden="false" customHeight="false" outlineLevel="0" collapsed="false">
      <c r="B29" s="81" t="n">
        <v>42639</v>
      </c>
      <c r="C29" s="70" t="n">
        <v>419557</v>
      </c>
      <c r="D29" s="95" t="n">
        <v>17</v>
      </c>
      <c r="E29" s="103" t="n">
        <f aca="false">+C29*D29</f>
        <v>7132469</v>
      </c>
      <c r="G29" s="104" t="s">
        <v>35</v>
      </c>
    </row>
    <row r="30" customFormat="false" ht="13.5" hidden="false" customHeight="false" outlineLevel="0" collapsed="false">
      <c r="B30" s="81" t="n">
        <v>42641</v>
      </c>
      <c r="C30" s="70" t="n">
        <v>587905</v>
      </c>
      <c r="D30" s="95" t="n">
        <v>17</v>
      </c>
      <c r="E30" s="103" t="n">
        <f aca="false">+C30*D30</f>
        <v>9994385</v>
      </c>
      <c r="G30" s="105" t="s">
        <v>36</v>
      </c>
    </row>
    <row r="31" customFormat="false" ht="12.75" hidden="false" customHeight="false" outlineLevel="0" collapsed="false">
      <c r="B31" s="81" t="n">
        <v>42642</v>
      </c>
      <c r="C31" s="70" t="n">
        <v>15000000</v>
      </c>
      <c r="D31" s="95" t="n">
        <v>17</v>
      </c>
      <c r="E31" s="103" t="n">
        <f aca="false">+C31*D31</f>
        <v>255000000</v>
      </c>
    </row>
    <row r="32" customFormat="false" ht="12.75" hidden="false" customHeight="false" outlineLevel="0" collapsed="false">
      <c r="B32" s="81" t="n">
        <v>42674</v>
      </c>
      <c r="C32" s="71" t="n">
        <v>136849</v>
      </c>
      <c r="D32" s="95" t="n">
        <v>17</v>
      </c>
      <c r="E32" s="98" t="n">
        <f aca="false">+C32*D32</f>
        <v>2326433</v>
      </c>
    </row>
    <row r="33" customFormat="false" ht="12.75" hidden="false" customHeight="false" outlineLevel="0" collapsed="false">
      <c r="B33" s="81" t="n">
        <v>42690</v>
      </c>
      <c r="C33" s="70" t="n">
        <v>199169</v>
      </c>
      <c r="D33" s="95" t="n">
        <v>17</v>
      </c>
      <c r="E33" s="98" t="n">
        <f aca="false">+C33*D33</f>
        <v>3385873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B1:L55"/>
  <sheetViews>
    <sheetView showFormulas="false" showGridLines="true" showRowColHeaders="true" showZeros="true" rightToLeft="false" tabSelected="false" showOutlineSymbols="true" defaultGridColor="true" view="normal" topLeftCell="A4" colorId="64" zoomScale="100" zoomScaleNormal="100" zoomScalePageLayoutView="100" workbookViewId="0">
      <selection pane="topLeft" activeCell="B6" activeCellId="0" sqref="B6"/>
    </sheetView>
  </sheetViews>
  <sheetFormatPr defaultColWidth="10.6875" defaultRowHeight="12.75" zeroHeight="false" outlineLevelRow="0" outlineLevelCol="0"/>
  <cols>
    <col collapsed="false" customWidth="true" hidden="false" outlineLevel="0" max="2" min="2" style="0" width="19.85"/>
    <col collapsed="false" customWidth="true" hidden="false" outlineLevel="0" max="3" min="3" style="0" width="15.57"/>
    <col collapsed="false" customWidth="true" hidden="false" outlineLevel="0" max="4" min="4" style="95" width="17.42"/>
    <col collapsed="false" customWidth="true" hidden="false" outlineLevel="0" max="5" min="5" style="0" width="15"/>
  </cols>
  <sheetData>
    <row r="1" customFormat="false" ht="15" hidden="false" customHeight="false" outlineLevel="0" collapsed="false">
      <c r="B1" s="54" t="s">
        <v>0</v>
      </c>
      <c r="C1" s="25"/>
      <c r="D1" s="96"/>
      <c r="E1" s="60" t="s">
        <v>37</v>
      </c>
    </row>
    <row r="2" customFormat="false" ht="14.25" hidden="false" customHeight="false" outlineLevel="0" collapsed="false">
      <c r="B2" s="61"/>
      <c r="C2" s="25"/>
      <c r="D2" s="96"/>
      <c r="E2" s="25"/>
    </row>
    <row r="3" customFormat="false" ht="15" hidden="false" customHeight="false" outlineLevel="0" collapsed="false">
      <c r="B3" s="54" t="s">
        <v>1</v>
      </c>
      <c r="C3" s="25"/>
      <c r="D3" s="96"/>
      <c r="E3" s="25"/>
    </row>
    <row r="4" customFormat="false" ht="14.25" hidden="false" customHeight="false" outlineLevel="0" collapsed="false">
      <c r="B4" s="61"/>
      <c r="C4" s="25"/>
      <c r="D4" s="96"/>
      <c r="E4" s="25"/>
    </row>
    <row r="5" customFormat="false" ht="15" hidden="false" customHeight="false" outlineLevel="0" collapsed="false">
      <c r="B5" s="54" t="s">
        <v>2</v>
      </c>
      <c r="C5" s="28" t="s">
        <v>11</v>
      </c>
      <c r="D5" s="97" t="s">
        <v>5</v>
      </c>
      <c r="E5" s="25"/>
    </row>
    <row r="6" customFormat="false" ht="12.75" hidden="false" customHeight="false" outlineLevel="0" collapsed="false">
      <c r="B6" s="106" t="n">
        <v>42776</v>
      </c>
      <c r="C6" s="107" t="n">
        <v>227000</v>
      </c>
      <c r="D6" s="108" t="n">
        <v>17</v>
      </c>
    </row>
    <row r="7" customFormat="false" ht="12.75" hidden="false" customHeight="false" outlineLevel="0" collapsed="false">
      <c r="B7" s="109" t="n">
        <v>42779</v>
      </c>
      <c r="C7" s="110" t="n">
        <v>53626</v>
      </c>
      <c r="D7" s="108" t="n">
        <v>17</v>
      </c>
      <c r="E7" s="111"/>
      <c r="F7" s="111"/>
      <c r="G7" s="111"/>
      <c r="H7" s="111"/>
      <c r="I7" s="111"/>
      <c r="J7" s="111"/>
      <c r="K7" s="111"/>
      <c r="L7" s="111"/>
    </row>
    <row r="8" customFormat="false" ht="12.75" hidden="false" customHeight="false" outlineLevel="0" collapsed="false">
      <c r="B8" s="109" t="n">
        <v>42780</v>
      </c>
      <c r="C8" s="110" t="n">
        <v>624929</v>
      </c>
      <c r="D8" s="108" t="n">
        <v>17.25</v>
      </c>
      <c r="E8" s="111"/>
      <c r="F8" s="111"/>
      <c r="G8" s="111"/>
      <c r="H8" s="111"/>
      <c r="I8" s="111"/>
      <c r="J8" s="111"/>
      <c r="K8" s="111"/>
      <c r="L8" s="111"/>
    </row>
    <row r="9" customFormat="false" ht="12.75" hidden="false" customHeight="false" outlineLevel="0" collapsed="false">
      <c r="B9" s="109" t="n">
        <v>42786</v>
      </c>
      <c r="C9" s="110" t="n">
        <v>3500</v>
      </c>
      <c r="D9" s="108" t="n">
        <v>17</v>
      </c>
      <c r="E9" s="111"/>
      <c r="F9" s="111"/>
      <c r="G9" s="111"/>
      <c r="H9" s="111"/>
      <c r="I9" s="111"/>
      <c r="J9" s="111"/>
      <c r="K9" s="111"/>
      <c r="L9" s="111"/>
    </row>
    <row r="10" customFormat="false" ht="12.75" hidden="false" customHeight="false" outlineLevel="0" collapsed="false">
      <c r="B10" s="109" t="n">
        <v>42794</v>
      </c>
      <c r="C10" s="110" t="n">
        <v>21415959</v>
      </c>
      <c r="D10" s="108" t="n">
        <v>17.02</v>
      </c>
      <c r="E10" s="111"/>
      <c r="F10" s="111"/>
      <c r="G10" s="111"/>
      <c r="H10" s="111"/>
      <c r="I10" s="111"/>
      <c r="J10" s="111"/>
      <c r="K10" s="111"/>
      <c r="L10" s="111"/>
    </row>
    <row r="11" customFormat="false" ht="12.75" hidden="false" customHeight="false" outlineLevel="0" collapsed="false">
      <c r="B11" s="109" t="n">
        <v>42804</v>
      </c>
      <c r="C11" s="110" t="n">
        <v>207000</v>
      </c>
      <c r="D11" s="108" t="n">
        <v>17</v>
      </c>
      <c r="E11" s="111"/>
      <c r="F11" s="111"/>
      <c r="G11" s="111"/>
      <c r="H11" s="111"/>
      <c r="I11" s="111"/>
      <c r="J11" s="111"/>
      <c r="K11" s="111"/>
      <c r="L11" s="111"/>
    </row>
    <row r="12" customFormat="false" ht="12.75" hidden="false" customHeight="false" outlineLevel="0" collapsed="false">
      <c r="B12" s="109" t="n">
        <v>42815</v>
      </c>
      <c r="C12" s="110" t="n">
        <v>400000</v>
      </c>
      <c r="D12" s="108" t="n">
        <v>17.2</v>
      </c>
      <c r="E12" s="111"/>
      <c r="F12" s="111"/>
      <c r="G12" s="111"/>
      <c r="H12" s="111"/>
      <c r="I12" s="111"/>
      <c r="J12" s="111"/>
      <c r="K12" s="111"/>
      <c r="L12" s="111"/>
    </row>
    <row r="13" customFormat="false" ht="12.75" hidden="false" customHeight="false" outlineLevel="0" collapsed="false">
      <c r="B13" s="109" t="n">
        <v>42830</v>
      </c>
      <c r="C13" s="110" t="n">
        <v>216902</v>
      </c>
      <c r="D13" s="108" t="n">
        <v>17.2</v>
      </c>
      <c r="E13" s="111"/>
      <c r="F13" s="111"/>
      <c r="G13" s="111"/>
      <c r="H13" s="111"/>
      <c r="I13" s="111"/>
      <c r="J13" s="111"/>
      <c r="K13" s="111"/>
      <c r="L13" s="111"/>
    </row>
    <row r="14" customFormat="false" ht="12.75" hidden="false" customHeight="false" outlineLevel="0" collapsed="false">
      <c r="B14" s="109" t="n">
        <v>42866</v>
      </c>
      <c r="C14" s="110" t="n">
        <v>430000</v>
      </c>
      <c r="D14" s="108" t="n">
        <v>17.4</v>
      </c>
      <c r="E14" s="111"/>
      <c r="F14" s="111"/>
      <c r="G14" s="111"/>
      <c r="H14" s="111"/>
      <c r="I14" s="111"/>
      <c r="J14" s="111"/>
      <c r="K14" s="111"/>
      <c r="L14" s="111"/>
    </row>
    <row r="15" customFormat="false" ht="12.75" hidden="false" customHeight="false" outlineLevel="0" collapsed="false">
      <c r="B15" s="109" t="n">
        <v>42867</v>
      </c>
      <c r="C15" s="110" t="n">
        <v>69668</v>
      </c>
      <c r="D15" s="108" t="n">
        <v>17.4</v>
      </c>
      <c r="E15" s="111"/>
      <c r="F15" s="111"/>
      <c r="G15" s="111"/>
      <c r="H15" s="111"/>
      <c r="I15" s="111"/>
      <c r="J15" s="111"/>
      <c r="K15" s="111"/>
      <c r="L15" s="111"/>
    </row>
    <row r="16" customFormat="false" ht="12.75" hidden="false" customHeight="false" outlineLevel="0" collapsed="false">
      <c r="B16" s="109" t="n">
        <v>42877</v>
      </c>
      <c r="C16" s="110" t="n">
        <v>253443</v>
      </c>
      <c r="D16" s="108" t="n">
        <v>17.65</v>
      </c>
      <c r="E16" s="111"/>
      <c r="F16" s="111"/>
      <c r="G16" s="111"/>
      <c r="H16" s="111"/>
      <c r="I16" s="111"/>
      <c r="J16" s="111"/>
      <c r="K16" s="111"/>
      <c r="L16" s="111"/>
    </row>
    <row r="17" customFormat="false" ht="12.75" hidden="false" customHeight="false" outlineLevel="0" collapsed="false">
      <c r="B17" s="109" t="n">
        <v>42879</v>
      </c>
      <c r="C17" s="110" t="n">
        <v>7245</v>
      </c>
      <c r="D17" s="108" t="n">
        <v>17</v>
      </c>
      <c r="E17" s="111"/>
      <c r="F17" s="111"/>
      <c r="G17" s="111"/>
      <c r="H17" s="111"/>
      <c r="I17" s="111"/>
      <c r="J17" s="111"/>
      <c r="K17" s="111"/>
      <c r="L17" s="111"/>
    </row>
    <row r="18" customFormat="false" ht="12.75" hidden="false" customHeight="false" outlineLevel="0" collapsed="false">
      <c r="B18" s="109" t="n">
        <v>42885</v>
      </c>
      <c r="C18" s="110" t="n">
        <v>136849</v>
      </c>
      <c r="D18" s="108" t="n">
        <v>17.5</v>
      </c>
      <c r="E18" s="111"/>
      <c r="F18" s="111"/>
      <c r="G18" s="111"/>
      <c r="H18" s="111"/>
      <c r="I18" s="111"/>
      <c r="J18" s="111"/>
      <c r="K18" s="111"/>
      <c r="L18" s="111"/>
    </row>
    <row r="19" customFormat="false" ht="12.75" hidden="false" customHeight="false" outlineLevel="0" collapsed="false">
      <c r="B19" s="109" t="n">
        <v>42888</v>
      </c>
      <c r="C19" s="110" t="n">
        <v>786000</v>
      </c>
      <c r="D19" s="108" t="n">
        <v>18</v>
      </c>
      <c r="E19" s="111"/>
      <c r="F19" s="111"/>
      <c r="G19" s="111"/>
      <c r="H19" s="111"/>
      <c r="I19" s="111"/>
      <c r="J19" s="111"/>
      <c r="K19" s="111"/>
      <c r="L19" s="111"/>
    </row>
    <row r="20" customFormat="false" ht="12.75" hidden="false" customHeight="false" outlineLevel="0" collapsed="false">
      <c r="B20" s="109" t="n">
        <v>42895</v>
      </c>
      <c r="C20" s="110" t="n">
        <f aca="false">17000000+9813786</f>
        <v>26813786</v>
      </c>
      <c r="D20" s="108" t="n">
        <v>18.25</v>
      </c>
      <c r="E20" s="112"/>
      <c r="F20" s="111"/>
      <c r="G20" s="111"/>
      <c r="H20" s="111"/>
      <c r="I20" s="111"/>
      <c r="J20" s="111"/>
      <c r="K20" s="111"/>
      <c r="L20" s="111"/>
    </row>
    <row r="21" customFormat="false" ht="12.75" hidden="false" customHeight="false" outlineLevel="0" collapsed="false">
      <c r="B21" s="109" t="n">
        <v>42914</v>
      </c>
      <c r="C21" s="110" t="n">
        <f aca="false">1240000+226304+500000</f>
        <v>1966304</v>
      </c>
      <c r="D21" s="108" t="n">
        <v>18.3</v>
      </c>
      <c r="E21" s="112"/>
      <c r="F21" s="111"/>
      <c r="G21" s="111"/>
      <c r="H21" s="111"/>
      <c r="I21" s="111"/>
      <c r="J21" s="111"/>
      <c r="K21" s="111"/>
      <c r="L21" s="111"/>
    </row>
    <row r="22" customFormat="false" ht="12.75" hidden="false" customHeight="false" outlineLevel="0" collapsed="false">
      <c r="B22" s="109" t="n">
        <v>42922</v>
      </c>
      <c r="C22" s="110" t="n">
        <v>275000</v>
      </c>
      <c r="D22" s="108" t="n">
        <v>18.3</v>
      </c>
      <c r="E22" s="112"/>
      <c r="F22" s="111"/>
      <c r="G22" s="111"/>
      <c r="H22" s="111"/>
      <c r="I22" s="111"/>
      <c r="J22" s="111"/>
      <c r="K22" s="111"/>
      <c r="L22" s="111"/>
    </row>
    <row r="23" customFormat="false" ht="12.75" hidden="false" customHeight="false" outlineLevel="0" collapsed="false">
      <c r="B23" s="109" t="n">
        <v>42936</v>
      </c>
      <c r="C23" s="110" t="n">
        <v>1225287</v>
      </c>
      <c r="D23" s="108" t="n">
        <v>18.6</v>
      </c>
      <c r="E23" s="112"/>
      <c r="F23" s="111"/>
      <c r="G23" s="111"/>
      <c r="H23" s="111"/>
      <c r="I23" s="111"/>
      <c r="J23" s="111"/>
      <c r="K23" s="111"/>
      <c r="L23" s="111"/>
    </row>
    <row r="24" customFormat="false" ht="12.75" hidden="false" customHeight="false" outlineLevel="0" collapsed="false">
      <c r="B24" s="109" t="n">
        <v>42963</v>
      </c>
      <c r="C24" s="110" t="n">
        <v>1985172</v>
      </c>
      <c r="D24" s="108" t="n">
        <v>18.6</v>
      </c>
      <c r="E24" s="112"/>
      <c r="F24" s="111"/>
      <c r="G24" s="111"/>
      <c r="H24" s="111"/>
      <c r="I24" s="111"/>
      <c r="J24" s="111"/>
      <c r="K24" s="111"/>
      <c r="L24" s="111"/>
    </row>
    <row r="25" customFormat="false" ht="12.75" hidden="false" customHeight="false" outlineLevel="0" collapsed="false">
      <c r="B25" s="109" t="n">
        <v>42971</v>
      </c>
      <c r="C25" s="110" t="n">
        <v>300000</v>
      </c>
      <c r="D25" s="108" t="n">
        <v>18.6</v>
      </c>
      <c r="E25" s="112"/>
      <c r="F25" s="111"/>
      <c r="G25" s="111"/>
      <c r="H25" s="111"/>
      <c r="I25" s="111"/>
      <c r="J25" s="111"/>
      <c r="K25" s="111"/>
      <c r="L25" s="111"/>
    </row>
    <row r="26" customFormat="false" ht="12.75" hidden="false" customHeight="false" outlineLevel="0" collapsed="false">
      <c r="B26" s="109" t="n">
        <v>43006</v>
      </c>
      <c r="C26" s="110" t="n">
        <v>75000</v>
      </c>
      <c r="D26" s="108" t="n">
        <v>18.6</v>
      </c>
      <c r="E26" s="112"/>
      <c r="F26" s="111"/>
      <c r="G26" s="111"/>
      <c r="H26" s="111"/>
      <c r="I26" s="111"/>
      <c r="J26" s="111"/>
      <c r="K26" s="111"/>
      <c r="L26" s="111"/>
    </row>
    <row r="27" customFormat="false" ht="12.75" hidden="false" customHeight="false" outlineLevel="0" collapsed="false">
      <c r="B27" s="109" t="n">
        <v>43069</v>
      </c>
      <c r="C27" s="110" t="n">
        <v>10000000</v>
      </c>
      <c r="D27" s="108" t="n">
        <v>18.59</v>
      </c>
      <c r="E27" s="112"/>
      <c r="F27" s="111"/>
      <c r="G27" s="111"/>
      <c r="H27" s="111"/>
      <c r="I27" s="111"/>
      <c r="J27" s="111"/>
      <c r="K27" s="111"/>
      <c r="L27" s="111"/>
    </row>
    <row r="28" customFormat="false" ht="12.75" hidden="false" customHeight="false" outlineLevel="0" collapsed="false">
      <c r="B28" s="109" t="n">
        <v>43070</v>
      </c>
      <c r="C28" s="110" t="n">
        <v>4598447</v>
      </c>
      <c r="D28" s="108" t="n">
        <v>18.6</v>
      </c>
      <c r="E28" s="112"/>
      <c r="F28" s="111"/>
      <c r="G28" s="113"/>
      <c r="H28" s="114"/>
      <c r="I28" s="111"/>
      <c r="J28" s="111"/>
      <c r="K28" s="111"/>
      <c r="L28" s="111"/>
    </row>
    <row r="29" customFormat="false" ht="12.75" hidden="false" customHeight="false" outlineLevel="0" collapsed="false">
      <c r="B29" s="109" t="n">
        <v>43076</v>
      </c>
      <c r="C29" s="110" t="n">
        <v>2597373</v>
      </c>
      <c r="D29" s="108" t="n">
        <v>18.65</v>
      </c>
      <c r="E29" s="112"/>
      <c r="F29" s="111"/>
      <c r="G29" s="113"/>
      <c r="H29" s="115"/>
      <c r="I29" s="111"/>
      <c r="J29" s="111"/>
      <c r="K29" s="111"/>
      <c r="L29" s="111"/>
    </row>
    <row r="30" customFormat="false" ht="12.75" hidden="false" customHeight="false" outlineLevel="0" collapsed="false">
      <c r="F30" s="111"/>
      <c r="G30" s="111"/>
      <c r="H30" s="111"/>
      <c r="I30" s="111"/>
      <c r="J30" s="111"/>
      <c r="K30" s="111"/>
      <c r="L30" s="111"/>
    </row>
    <row r="31" customFormat="false" ht="12.75" hidden="false" customHeight="false" outlineLevel="0" collapsed="false">
      <c r="F31" s="111"/>
      <c r="G31" s="116"/>
      <c r="H31" s="111"/>
      <c r="I31" s="111"/>
      <c r="J31" s="111"/>
      <c r="K31" s="111"/>
      <c r="L31" s="111"/>
    </row>
    <row r="32" customFormat="false" ht="12.75" hidden="false" customHeight="false" outlineLevel="0" collapsed="false">
      <c r="F32" s="111"/>
      <c r="G32" s="116"/>
      <c r="H32" s="111"/>
      <c r="I32" s="111"/>
      <c r="J32" s="111"/>
      <c r="K32" s="111"/>
      <c r="L32" s="111"/>
    </row>
    <row r="33" customFormat="false" ht="12.75" hidden="false" customHeight="false" outlineLevel="0" collapsed="false">
      <c r="F33" s="111"/>
      <c r="G33" s="111"/>
      <c r="H33" s="111"/>
      <c r="I33" s="111"/>
      <c r="J33" s="111"/>
      <c r="K33" s="111"/>
      <c r="L33" s="111"/>
    </row>
    <row r="34" customFormat="false" ht="12.75" hidden="false" customHeight="false" outlineLevel="0" collapsed="false">
      <c r="F34" s="111"/>
      <c r="G34" s="111"/>
      <c r="H34" s="111"/>
      <c r="I34" s="111"/>
      <c r="J34" s="111"/>
      <c r="K34" s="111"/>
      <c r="L34" s="111"/>
    </row>
    <row r="35" customFormat="false" ht="12.75" hidden="false" customHeight="false" outlineLevel="0" collapsed="false">
      <c r="F35" s="111"/>
      <c r="G35" s="111"/>
      <c r="H35" s="111"/>
      <c r="I35" s="111"/>
      <c r="J35" s="111"/>
      <c r="K35" s="111"/>
      <c r="L35" s="111"/>
    </row>
    <row r="36" customFormat="false" ht="12.75" hidden="false" customHeight="false" outlineLevel="0" collapsed="false">
      <c r="F36" s="111"/>
      <c r="G36" s="111"/>
      <c r="H36" s="111"/>
      <c r="I36" s="111"/>
      <c r="J36" s="111"/>
      <c r="K36" s="111"/>
      <c r="L36" s="111"/>
    </row>
    <row r="37" customFormat="false" ht="12.75" hidden="false" customHeight="false" outlineLevel="0" collapsed="false">
      <c r="F37" s="111"/>
      <c r="G37" s="111"/>
      <c r="H37" s="111"/>
      <c r="I37" s="111"/>
      <c r="J37" s="111"/>
      <c r="K37" s="111"/>
      <c r="L37" s="111"/>
    </row>
    <row r="50" customFormat="false" ht="12.75" hidden="false" customHeight="false" outlineLevel="0" collapsed="false">
      <c r="C50" s="70"/>
    </row>
    <row r="51" customFormat="false" ht="12.75" hidden="false" customHeight="false" outlineLevel="0" collapsed="false">
      <c r="C51" s="70"/>
    </row>
    <row r="52" customFormat="false" ht="12.75" hidden="false" customHeight="false" outlineLevel="0" collapsed="false">
      <c r="C52" s="70"/>
    </row>
    <row r="53" customFormat="false" ht="12.75" hidden="false" customHeight="false" outlineLevel="0" collapsed="false">
      <c r="C53" s="70"/>
    </row>
    <row r="54" customFormat="false" ht="12.75" hidden="false" customHeight="false" outlineLevel="0" collapsed="false">
      <c r="C54" s="70"/>
    </row>
    <row r="55" customFormat="false" ht="12.75" hidden="false" customHeight="false" outlineLevel="0" collapsed="false">
      <c r="C55" s="70"/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J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7" activeCellId="0" sqref="A7"/>
    </sheetView>
  </sheetViews>
  <sheetFormatPr defaultColWidth="10.6875" defaultRowHeight="12.75" zeroHeight="false" outlineLevelRow="0" outlineLevelCol="0"/>
  <cols>
    <col collapsed="false" customWidth="true" hidden="false" outlineLevel="0" max="1" min="1" style="81" width="11.57"/>
    <col collapsed="false" customWidth="true" hidden="false" outlineLevel="0" max="2" min="2" style="0" width="15.57"/>
  </cols>
  <sheetData>
    <row r="1" customFormat="false" ht="15" hidden="false" customHeight="false" outlineLevel="0" collapsed="false">
      <c r="A1" s="54" t="s">
        <v>0</v>
      </c>
      <c r="B1" s="25"/>
      <c r="C1" s="96"/>
      <c r="D1" s="60" t="s">
        <v>38</v>
      </c>
      <c r="F1" s="1"/>
      <c r="G1" s="1"/>
      <c r="H1" s="1"/>
      <c r="I1" s="1"/>
      <c r="J1" s="117"/>
    </row>
    <row r="2" customFormat="false" ht="14.25" hidden="false" customHeight="false" outlineLevel="0" collapsed="false">
      <c r="A2" s="61"/>
      <c r="B2" s="25"/>
      <c r="C2" s="96"/>
      <c r="D2" s="25"/>
    </row>
    <row r="3" customFormat="false" ht="15" hidden="false" customHeight="false" outlineLevel="0" collapsed="false">
      <c r="A3" s="54" t="s">
        <v>1</v>
      </c>
      <c r="B3" s="25"/>
      <c r="C3" s="96"/>
      <c r="D3" s="25"/>
      <c r="J3" s="118"/>
    </row>
    <row r="4" customFormat="false" ht="14.25" hidden="false" customHeight="false" outlineLevel="0" collapsed="false">
      <c r="A4" s="61"/>
      <c r="B4" s="25"/>
      <c r="C4" s="96"/>
      <c r="D4" s="25"/>
      <c r="J4" s="119"/>
    </row>
    <row r="5" customFormat="false" ht="15" hidden="false" customHeight="false" outlineLevel="0" collapsed="false">
      <c r="A5" s="54" t="s">
        <v>2</v>
      </c>
      <c r="B5" s="28" t="s">
        <v>11</v>
      </c>
      <c r="C5" s="97" t="s">
        <v>5</v>
      </c>
      <c r="D5" s="25"/>
    </row>
    <row r="6" customFormat="false" ht="12.75" hidden="false" customHeight="false" outlineLevel="0" collapsed="false">
      <c r="D6" s="103"/>
    </row>
    <row r="7" customFormat="false" ht="12.75" hidden="false" customHeight="false" outlineLevel="0" collapsed="false">
      <c r="A7" s="120" t="n">
        <v>43111</v>
      </c>
      <c r="B7" s="121" t="n">
        <v>183235</v>
      </c>
      <c r="C7" s="95" t="n">
        <v>18.65</v>
      </c>
      <c r="D7" s="112"/>
    </row>
    <row r="8" customFormat="false" ht="12.75" hidden="false" customHeight="false" outlineLevel="0" collapsed="false">
      <c r="A8" s="120" t="n">
        <v>43118</v>
      </c>
      <c r="B8" s="121" t="n">
        <v>866046</v>
      </c>
      <c r="C8" s="95" t="n">
        <v>18.64</v>
      </c>
      <c r="D8" s="112"/>
    </row>
    <row r="9" customFormat="false" ht="12.75" hidden="false" customHeight="false" outlineLevel="0" collapsed="false">
      <c r="A9" s="120" t="n">
        <v>43126</v>
      </c>
      <c r="B9" s="121" t="n">
        <v>6000000</v>
      </c>
      <c r="C9" s="95" t="n">
        <v>18.64</v>
      </c>
      <c r="D9" s="111" t="n">
        <v>18.47</v>
      </c>
    </row>
    <row r="10" customFormat="false" ht="12.75" hidden="false" customHeight="false" outlineLevel="0" collapsed="false">
      <c r="A10" s="120" t="n">
        <v>43129</v>
      </c>
      <c r="B10" s="121" t="n">
        <v>3305000</v>
      </c>
      <c r="C10" s="95" t="n">
        <v>18.65</v>
      </c>
      <c r="D10" s="111"/>
    </row>
    <row r="11" customFormat="false" ht="12.75" hidden="false" customHeight="false" outlineLevel="0" collapsed="false">
      <c r="A11" s="120" t="n">
        <v>43131</v>
      </c>
      <c r="B11" s="121" t="n">
        <v>5000</v>
      </c>
      <c r="C11" s="95" t="n">
        <v>18.65</v>
      </c>
    </row>
    <row r="12" customFormat="false" ht="12.75" hidden="false" customHeight="false" outlineLevel="0" collapsed="false">
      <c r="A12" s="120" t="n">
        <v>43144</v>
      </c>
      <c r="B12" s="121" t="n">
        <v>10000</v>
      </c>
      <c r="C12" s="95" t="n">
        <v>18.5</v>
      </c>
      <c r="D12" s="0" t="n">
        <v>17.98</v>
      </c>
    </row>
    <row r="13" customFormat="false" ht="12.75" hidden="false" customHeight="false" outlineLevel="0" collapsed="false">
      <c r="A13" s="120" t="n">
        <v>43145</v>
      </c>
      <c r="B13" s="121" t="n">
        <v>2682173</v>
      </c>
      <c r="C13" s="95" t="n">
        <v>18.5</v>
      </c>
    </row>
    <row r="14" customFormat="false" ht="12.75" hidden="false" customHeight="false" outlineLevel="0" collapsed="false">
      <c r="A14" s="120" t="n">
        <v>43150</v>
      </c>
      <c r="B14" s="121" t="n">
        <v>4000000</v>
      </c>
      <c r="C14" s="95" t="n">
        <v>18.46</v>
      </c>
    </row>
    <row r="15" customFormat="false" ht="12.75" hidden="false" customHeight="false" outlineLevel="0" collapsed="false">
      <c r="A15" s="81" t="n">
        <v>43151</v>
      </c>
      <c r="B15" s="70" t="n">
        <v>147000</v>
      </c>
      <c r="C15" s="95" t="n">
        <v>18.46</v>
      </c>
    </row>
    <row r="16" customFormat="false" ht="12.75" hidden="false" customHeight="false" outlineLevel="0" collapsed="false">
      <c r="A16" s="81" t="n">
        <v>43154</v>
      </c>
      <c r="B16" s="70" t="n">
        <v>164018</v>
      </c>
      <c r="C16" s="95" t="n">
        <v>18.5</v>
      </c>
    </row>
    <row r="17" customFormat="false" ht="12.75" hidden="false" customHeight="false" outlineLevel="0" collapsed="false">
      <c r="A17" s="81" t="n">
        <v>43166</v>
      </c>
      <c r="B17" s="70" t="n">
        <v>2147019</v>
      </c>
      <c r="C17" s="95" t="n">
        <v>17.75</v>
      </c>
    </row>
    <row r="18" customFormat="false" ht="12.75" hidden="false" customHeight="false" outlineLevel="0" collapsed="false">
      <c r="A18" s="81" t="n">
        <v>43168</v>
      </c>
      <c r="B18" s="70" t="n">
        <v>300000</v>
      </c>
      <c r="C18" s="95" t="n">
        <v>17.5</v>
      </c>
    </row>
    <row r="19" customFormat="false" ht="12.75" hidden="false" customHeight="false" outlineLevel="0" collapsed="false">
      <c r="A19" s="81" t="n">
        <v>43180</v>
      </c>
      <c r="B19" s="70" t="n">
        <v>1589788</v>
      </c>
      <c r="C19" s="95" t="n">
        <v>17.2</v>
      </c>
    </row>
    <row r="20" customFormat="false" ht="12.75" hidden="false" customHeight="false" outlineLevel="0" collapsed="false">
      <c r="A20" s="81" t="n">
        <v>43209</v>
      </c>
      <c r="B20" s="70" t="n">
        <v>750000</v>
      </c>
      <c r="C20" s="95" t="n">
        <v>17.2</v>
      </c>
    </row>
    <row r="21" customFormat="false" ht="12.75" hidden="false" customHeight="false" outlineLevel="0" collapsed="false">
      <c r="A21" s="81" t="n">
        <v>43215</v>
      </c>
      <c r="B21" s="70" t="n">
        <v>147020</v>
      </c>
      <c r="C21" s="95" t="n">
        <v>17.2</v>
      </c>
    </row>
    <row r="22" customFormat="false" ht="12.75" hidden="false" customHeight="false" outlineLevel="0" collapsed="false">
      <c r="A22" s="81" t="n">
        <v>43216</v>
      </c>
      <c r="B22" s="70" t="n">
        <v>201292</v>
      </c>
      <c r="C22" s="95" t="n">
        <v>17.2</v>
      </c>
    </row>
    <row r="23" customFormat="false" ht="12.75" hidden="false" customHeight="false" outlineLevel="0" collapsed="false">
      <c r="A23" s="81" t="n">
        <v>43220</v>
      </c>
      <c r="B23" s="70" t="n">
        <v>3580000</v>
      </c>
      <c r="C23" s="95" t="n">
        <v>17.19</v>
      </c>
    </row>
    <row r="24" customFormat="false" ht="12.75" hidden="false" customHeight="false" outlineLevel="0" collapsed="false">
      <c r="A24" s="81" t="n">
        <v>43241</v>
      </c>
      <c r="B24" s="70" t="n">
        <v>11706498</v>
      </c>
      <c r="C24" s="95" t="n">
        <v>17.18</v>
      </c>
    </row>
    <row r="25" customFormat="false" ht="12.75" hidden="false" customHeight="false" outlineLevel="0" collapsed="false">
      <c r="A25" s="81" t="n">
        <v>43245</v>
      </c>
      <c r="B25" s="70" t="n">
        <v>73293</v>
      </c>
      <c r="C25" s="95" t="n">
        <v>16.68</v>
      </c>
    </row>
    <row r="26" customFormat="false" ht="12.75" hidden="false" customHeight="false" outlineLevel="0" collapsed="false">
      <c r="A26" s="81" t="n">
        <v>43307</v>
      </c>
      <c r="B26" s="70" t="n">
        <v>3040</v>
      </c>
      <c r="C26" s="95" t="n">
        <v>17</v>
      </c>
    </row>
    <row r="27" customFormat="false" ht="12.75" hidden="false" customHeight="false" outlineLevel="0" collapsed="false">
      <c r="A27" s="81" t="n">
        <v>43353</v>
      </c>
      <c r="B27" s="70" t="n">
        <v>483212</v>
      </c>
      <c r="C27" s="95" t="n">
        <v>16</v>
      </c>
    </row>
    <row r="28" customFormat="false" ht="12.75" hidden="false" customHeight="false" outlineLevel="0" collapsed="false">
      <c r="A28" s="81" t="n">
        <v>43355</v>
      </c>
      <c r="B28" s="70" t="n">
        <v>407086</v>
      </c>
      <c r="C28" s="95" t="n">
        <v>16</v>
      </c>
    </row>
    <row r="29" customFormat="false" ht="12.75" hidden="false" customHeight="false" outlineLevel="0" collapsed="false">
      <c r="A29" s="81" t="n">
        <v>43377</v>
      </c>
      <c r="B29" s="70" t="n">
        <v>105000</v>
      </c>
      <c r="C29" s="95" t="n">
        <v>17.5</v>
      </c>
    </row>
    <row r="30" customFormat="false" ht="12.75" hidden="false" customHeight="false" outlineLevel="0" collapsed="false">
      <c r="A30" s="81" t="n">
        <v>43392</v>
      </c>
      <c r="B30" s="70" t="n">
        <v>26990</v>
      </c>
      <c r="C30" s="95" t="n">
        <v>16</v>
      </c>
    </row>
    <row r="31" customFormat="false" ht="12.75" hidden="false" customHeight="false" outlineLevel="0" collapsed="false">
      <c r="A31" s="81" t="n">
        <v>43405</v>
      </c>
      <c r="B31" s="70" t="n">
        <v>163582</v>
      </c>
      <c r="C31" s="95" t="n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F3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1" activeCellId="0" sqref="D1"/>
    </sheetView>
  </sheetViews>
  <sheetFormatPr defaultColWidth="10.6875" defaultRowHeight="12.75" zeroHeight="false" outlineLevelRow="0" outlineLevelCol="0"/>
  <cols>
    <col collapsed="false" customWidth="true" hidden="false" outlineLevel="0" max="1" min="1" style="0" width="14.57"/>
    <col collapsed="false" customWidth="true" hidden="false" outlineLevel="0" max="2" min="2" style="0" width="16.14"/>
    <col collapsed="false" customWidth="true" hidden="false" outlineLevel="0" max="3" min="3" style="0" width="14.28"/>
  </cols>
  <sheetData>
    <row r="1" customFormat="false" ht="15" hidden="false" customHeight="false" outlineLevel="0" collapsed="false">
      <c r="A1" s="54" t="s">
        <v>0</v>
      </c>
      <c r="B1" s="25"/>
      <c r="C1" s="96"/>
      <c r="D1" s="60" t="s">
        <v>39</v>
      </c>
    </row>
    <row r="2" customFormat="false" ht="14.25" hidden="false" customHeight="false" outlineLevel="0" collapsed="false">
      <c r="A2" s="61"/>
      <c r="B2" s="25"/>
      <c r="C2" s="96"/>
      <c r="D2" s="25"/>
    </row>
    <row r="3" customFormat="false" ht="15" hidden="false" customHeight="false" outlineLevel="0" collapsed="false">
      <c r="A3" s="54" t="s">
        <v>1</v>
      </c>
      <c r="B3" s="25"/>
      <c r="C3" s="96"/>
      <c r="D3" s="25"/>
    </row>
    <row r="4" customFormat="false" ht="14.25" hidden="false" customHeight="false" outlineLevel="0" collapsed="false">
      <c r="A4" s="61"/>
      <c r="B4" s="25"/>
      <c r="C4" s="96"/>
      <c r="D4" s="25"/>
    </row>
    <row r="5" customFormat="false" ht="15" hidden="false" customHeight="false" outlineLevel="0" collapsed="false">
      <c r="A5" s="54" t="s">
        <v>2</v>
      </c>
      <c r="B5" s="28" t="s">
        <v>11</v>
      </c>
      <c r="C5" s="97" t="s">
        <v>5</v>
      </c>
      <c r="D5" s="25"/>
    </row>
    <row r="6" customFormat="false" ht="12.75" hidden="false" customHeight="false" outlineLevel="0" collapsed="false">
      <c r="A6" s="122" t="n">
        <v>44501</v>
      </c>
      <c r="B6" s="123" t="n">
        <v>2511976</v>
      </c>
      <c r="C6" s="0" t="n">
        <v>13.75</v>
      </c>
    </row>
    <row r="7" customFormat="false" ht="12.75" hidden="false" customHeight="false" outlineLevel="0" collapsed="false">
      <c r="A7" s="122" t="s">
        <v>40</v>
      </c>
      <c r="B7" s="123" t="n">
        <v>425000</v>
      </c>
      <c r="C7" s="0" t="n">
        <v>13.75</v>
      </c>
    </row>
    <row r="8" customFormat="false" ht="12.75" hidden="false" customHeight="false" outlineLevel="0" collapsed="false">
      <c r="A8" s="124" t="n">
        <v>44502</v>
      </c>
      <c r="B8" s="123" t="n">
        <v>880817</v>
      </c>
      <c r="C8" s="0" t="n">
        <v>13.78</v>
      </c>
      <c r="D8" s="0" t="s">
        <v>41</v>
      </c>
      <c r="E8" s="0" t="n">
        <v>13.8</v>
      </c>
      <c r="F8" s="0" t="n">
        <v>13.75</v>
      </c>
    </row>
    <row r="9" customFormat="false" ht="12.75" hidden="false" customHeight="false" outlineLevel="0" collapsed="false">
      <c r="A9" s="124" t="s">
        <v>42</v>
      </c>
      <c r="B9" s="123" t="n">
        <v>460913</v>
      </c>
      <c r="C9" s="0" t="n">
        <v>13.75</v>
      </c>
    </row>
    <row r="10" customFormat="false" ht="12.75" hidden="false" customHeight="false" outlineLevel="0" collapsed="false">
      <c r="A10" s="124" t="s">
        <v>43</v>
      </c>
      <c r="B10" s="123" t="n">
        <v>374452</v>
      </c>
      <c r="C10" s="0" t="n">
        <v>13.75</v>
      </c>
    </row>
    <row r="11" customFormat="false" ht="12.75" hidden="false" customHeight="false" outlineLevel="0" collapsed="false">
      <c r="A11" s="122"/>
      <c r="B11" s="123"/>
    </row>
    <row r="12" customFormat="false" ht="12.75" hidden="false" customHeight="false" outlineLevel="0" collapsed="false">
      <c r="A12" s="122"/>
      <c r="B12" s="123"/>
    </row>
    <row r="13" customFormat="false" ht="12.75" hidden="false" customHeight="false" outlineLevel="0" collapsed="false">
      <c r="A13" s="122"/>
      <c r="B13" s="123"/>
    </row>
    <row r="14" customFormat="false" ht="12.75" hidden="false" customHeight="false" outlineLevel="0" collapsed="false">
      <c r="A14" s="122"/>
      <c r="B14" s="123"/>
    </row>
    <row r="15" customFormat="false" ht="12.75" hidden="false" customHeight="false" outlineLevel="0" collapsed="false">
      <c r="A15" s="122"/>
      <c r="B15" s="123"/>
    </row>
    <row r="16" customFormat="false" ht="12.75" hidden="false" customHeight="false" outlineLevel="0" collapsed="false">
      <c r="A16" s="122"/>
      <c r="B16" s="123"/>
    </row>
    <row r="17" customFormat="false" ht="12.75" hidden="false" customHeight="false" outlineLevel="0" collapsed="false">
      <c r="A17" s="122"/>
      <c r="B17" s="123"/>
    </row>
    <row r="18" customFormat="false" ht="12.75" hidden="false" customHeight="false" outlineLevel="0" collapsed="false">
      <c r="A18" s="122"/>
      <c r="B18" s="123"/>
    </row>
    <row r="19" customFormat="false" ht="12.75" hidden="false" customHeight="false" outlineLevel="0" collapsed="false">
      <c r="A19" s="122"/>
      <c r="B19" s="123"/>
    </row>
    <row r="20" customFormat="false" ht="12.75" hidden="false" customHeight="false" outlineLevel="0" collapsed="false">
      <c r="A20" s="122"/>
      <c r="B20" s="123"/>
    </row>
    <row r="21" customFormat="false" ht="12.75" hidden="false" customHeight="false" outlineLevel="0" collapsed="false">
      <c r="A21" s="122"/>
      <c r="B21" s="123"/>
    </row>
    <row r="22" customFormat="false" ht="12.75" hidden="false" customHeight="false" outlineLevel="0" collapsed="false">
      <c r="A22" s="122"/>
      <c r="B22" s="123"/>
    </row>
    <row r="23" customFormat="false" ht="12.75" hidden="false" customHeight="false" outlineLevel="0" collapsed="false">
      <c r="A23" s="122"/>
      <c r="B23" s="123"/>
    </row>
    <row r="24" customFormat="false" ht="12.75" hidden="false" customHeight="false" outlineLevel="0" collapsed="false">
      <c r="A24" s="122"/>
      <c r="B24" s="123"/>
    </row>
    <row r="25" customFormat="false" ht="12.75" hidden="false" customHeight="false" outlineLevel="0" collapsed="false">
      <c r="A25" s="122"/>
      <c r="B25" s="123"/>
    </row>
    <row r="26" customFormat="false" ht="12.75" hidden="false" customHeight="false" outlineLevel="0" collapsed="false">
      <c r="A26" s="122"/>
      <c r="B26" s="123"/>
    </row>
    <row r="27" customFormat="false" ht="12.75" hidden="false" customHeight="false" outlineLevel="0" collapsed="false">
      <c r="A27" s="122"/>
      <c r="B27" s="123"/>
    </row>
    <row r="28" customFormat="false" ht="12.75" hidden="false" customHeight="false" outlineLevel="0" collapsed="false">
      <c r="A28" s="122"/>
      <c r="B28" s="123"/>
    </row>
    <row r="29" customFormat="false" ht="12.75" hidden="false" customHeight="false" outlineLevel="0" collapsed="false">
      <c r="A29" s="122"/>
    </row>
    <row r="30" customFormat="false" ht="12.75" hidden="false" customHeight="false" outlineLevel="0" collapsed="false">
      <c r="A30" s="122"/>
    </row>
    <row r="31" customFormat="false" ht="12.75" hidden="false" customHeight="false" outlineLevel="0" collapsed="false">
      <c r="A31" s="122"/>
    </row>
    <row r="32" customFormat="false" ht="12.75" hidden="false" customHeight="false" outlineLevel="0" collapsed="false">
      <c r="A32" s="122"/>
    </row>
    <row r="33" customFormat="false" ht="12.75" hidden="false" customHeight="false" outlineLevel="0" collapsed="false">
      <c r="A33" s="122"/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0.6875" defaultRowHeight="12.75" zeroHeight="false" outlineLevelRow="0" outlineLevelCol="0"/>
  <sheetData/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LibreOffice/7.0.6.2$Linux_X86_64 LibreOffice_project/00$Build-2</Application>
  <AppVersion>15.0000</AppVersion>
  <Company>BN Valores Puesto de Bolsa SA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2005-10-10T22:11:15Z</dcterms:created>
  <dc:creator>pperez</dc:creator>
  <dc:description/>
  <dc:language>en-US</dc:language>
  <cp:lastModifiedBy>Ana Marcela Sanchez</cp:lastModifiedBy>
  <cp:lastPrinted>2016-12-07T21:59:54Z</cp:lastPrinted>
  <dcterms:modified xsi:type="dcterms:W3CDTF">2021-06-22T23:58:44Z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